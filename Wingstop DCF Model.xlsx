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atement" sheetId="3" state="visible" r:id="rId5"/>
    <sheet name="FCF Build" sheetId="4" state="visible" r:id="rId6"/>
    <sheet name="WACC" sheetId="5" state="visible" r:id="rId7"/>
    <sheet name="DCF Valuation" sheetId="6" state="visible" r:id="rId8"/>
    <sheet name="Sensitivit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<sst xmlns="http://schemas.openxmlformats.org/spreadsheetml/2006/main" count="164" uniqueCount="149">
  <si>
    <t xml:space="preserve">WINGSTOP INC.  (NASDAQ: WING)</t>
  </si>
  <si>
    <t xml:space="preserve">Discounted Cash Flow Valuation Model</t>
  </si>
  <si>
    <t xml:space="preserve">Prepared by: Adebola Awokoya</t>
  </si>
  <si>
    <t xml:space="preserve">Date: May 2026  |  All figures USD millions unless noted</t>
  </si>
  <si>
    <t xml:space="preserve">CONTENTS</t>
  </si>
  <si>
    <t xml:space="preserve">  ▸  Assumptions</t>
  </si>
  <si>
    <t xml:space="preserve">Key operating &amp; valuation inputs</t>
  </si>
  <si>
    <t xml:space="preserve">  ▸  Income Statement</t>
  </si>
  <si>
    <t xml:space="preserve">Historical FY21–FY24 + 5-yr projections</t>
  </si>
  <si>
    <t xml:space="preserve">  ▸  FCF Build</t>
  </si>
  <si>
    <t xml:space="preserve">Unlevered free cash flow bridge</t>
  </si>
  <si>
    <t xml:space="preserve">  ▸  WACC</t>
  </si>
  <si>
    <t xml:space="preserve">Cost of equity, debt &amp; WACC derivation</t>
  </si>
  <si>
    <t xml:space="preserve">  ▸  DCF Valuation</t>
  </si>
  <si>
    <t xml:space="preserve">Terminal value, PV of FCFs, implied price</t>
  </si>
  <si>
    <t xml:space="preserve">  ▸  Sensitivity</t>
  </si>
  <si>
    <t xml:space="preserve">Share price vs WACC &amp; growth scenarios</t>
  </si>
  <si>
    <t xml:space="preserve">DATA SOURCES</t>
  </si>
  <si>
    <t xml:space="preserve">  •  Wingstop 10-K FY2024  (SEC EDGAR)</t>
  </si>
  <si>
    <t xml:space="preserve">  •  Wingstop 10-K FY2023  (SEC EDGAR)</t>
  </si>
  <si>
    <t xml:space="preserve">  •  Damodaran Online — US Market Risk Premium &amp; Beta (Jan 2026)</t>
  </si>
  <si>
    <t xml:space="preserve">  •  FRED — 10-Year US Treasury Yield (May 2026)</t>
  </si>
  <si>
    <t xml:space="preserve">MODEL ASSUMPTIONS</t>
  </si>
  <si>
    <t xml:space="preserve">Blue = input  |  Black = formula  |  Green = cross-sheet link</t>
  </si>
  <si>
    <t xml:space="preserve">A.  REVENUE ASSUMPTIONS</t>
  </si>
  <si>
    <t xml:space="preserve">FY2025E system-wide sales growth</t>
  </si>
  <si>
    <t xml:space="preserve">FY2026E system-wide sales growth</t>
  </si>
  <si>
    <t xml:space="preserve">FY2027E system-wide sales growth</t>
  </si>
  <si>
    <t xml:space="preserve">FY2028E system-wide sales growth</t>
  </si>
  <si>
    <t xml:space="preserve">FY2029E system-wide sales growth</t>
  </si>
  <si>
    <t xml:space="preserve">B.  MARGIN ASSUMPTIONS</t>
  </si>
  <si>
    <t xml:space="preserve">EBITDA margin — FY2025E</t>
  </si>
  <si>
    <t xml:space="preserve">EBITDA margin — FY2026E</t>
  </si>
  <si>
    <t xml:space="preserve">EBITDA margin — FY2027E</t>
  </si>
  <si>
    <t xml:space="preserve">EBITDA margin — FY2028E</t>
  </si>
  <si>
    <t xml:space="preserve">EBITDA margin — FY2029E</t>
  </si>
  <si>
    <t xml:space="preserve">D&amp;A as % of revenue</t>
  </si>
  <si>
    <t xml:space="preserve">Effective tax rate</t>
  </si>
  <si>
    <t xml:space="preserve">C.  CAPEX &amp; WORKING CAPITAL</t>
  </si>
  <si>
    <t xml:space="preserve">Capex as % of revenue</t>
  </si>
  <si>
    <t xml:space="preserve">Change in NWC as % of Δ revenue</t>
  </si>
  <si>
    <t xml:space="preserve">D.  WACC INPUTS</t>
  </si>
  <si>
    <t xml:space="preserve">Risk-free rate (10-yr UST)</t>
  </si>
  <si>
    <t xml:space="preserve">Equity risk premium (Damodaran)</t>
  </si>
  <si>
    <t xml:space="preserve">Levered beta</t>
  </si>
  <si>
    <t xml:space="preserve">Cost of equity  [Ke = Rf + β×ERP]</t>
  </si>
  <si>
    <t xml:space="preserve">Pre-tax cost of debt</t>
  </si>
  <si>
    <t xml:space="preserve">After-tax cost of debt</t>
  </si>
  <si>
    <t xml:space="preserve">Debt weight</t>
  </si>
  <si>
    <t xml:space="preserve">Equity weight</t>
  </si>
  <si>
    <t xml:space="preserve">WACC  [= Ke×We + Kd×Wd]</t>
  </si>
  <si>
    <t xml:space="preserve">E.  TERMINAL VALUE</t>
  </si>
  <si>
    <t xml:space="preserve">Terminal growth rate (g)</t>
  </si>
  <si>
    <t xml:space="preserve">Exit EV/EBITDA (cross-check)</t>
  </si>
  <si>
    <t xml:space="preserve">F.  SHARE &amp; BALANCE SHEET DATA</t>
  </si>
  <si>
    <t xml:space="preserve">Diluted shares outstanding (mm)</t>
  </si>
  <si>
    <t xml:space="preserve">Net debt ($mm)</t>
  </si>
  <si>
    <t xml:space="preserve">Current share price ($) — ref only</t>
  </si>
  <si>
    <t xml:space="preserve">INCOME STATEMENT  ($mm)</t>
  </si>
  <si>
    <t xml:space="preserve">FY2021A</t>
  </si>
  <si>
    <t xml:space="preserve">FY2022A</t>
  </si>
  <si>
    <t xml:space="preserve">FY2023A</t>
  </si>
  <si>
    <t xml:space="preserve">FY2024A</t>
  </si>
  <si>
    <t xml:space="preserve">FY2025E</t>
  </si>
  <si>
    <t xml:space="preserve">FY2026E</t>
  </si>
  <si>
    <t xml:space="preserve">FY2027E</t>
  </si>
  <si>
    <t xml:space="preserve">FY2028E</t>
  </si>
  <si>
    <t xml:space="preserve">FY2029E</t>
  </si>
  <si>
    <t xml:space="preserve">REVENUE</t>
  </si>
  <si>
    <t xml:space="preserve">  Royalties</t>
  </si>
  <si>
    <t xml:space="preserve">  Franchise &amp; dev fees</t>
  </si>
  <si>
    <t xml:space="preserve">  Company-owned sales</t>
  </si>
  <si>
    <t xml:space="preserve">  Technology fees</t>
  </si>
  <si>
    <t xml:space="preserve">Total Revenue</t>
  </si>
  <si>
    <t xml:space="preserve">OPERATING EXPENSES</t>
  </si>
  <si>
    <t xml:space="preserve">  COGS (company-owned)</t>
  </si>
  <si>
    <t xml:space="preserve">  SG&amp;A</t>
  </si>
  <si>
    <t xml:space="preserve">  Depreciation &amp; Amort</t>
  </si>
  <si>
    <t xml:space="preserve">Total OpEx</t>
  </si>
  <si>
    <t xml:space="preserve">EBIT</t>
  </si>
  <si>
    <t xml:space="preserve">  Interest expense</t>
  </si>
  <si>
    <t xml:space="preserve">EBT</t>
  </si>
  <si>
    <t xml:space="preserve">  Income taxes</t>
  </si>
  <si>
    <t xml:space="preserve">Net Income</t>
  </si>
  <si>
    <t xml:space="preserve">MARGINS</t>
  </si>
  <si>
    <t xml:space="preserve">  EBITDA margin</t>
  </si>
  <si>
    <t xml:space="preserve">  EBIT margin</t>
  </si>
  <si>
    <t xml:space="preserve">  Net margin</t>
  </si>
  <si>
    <t xml:space="preserve">UNLEVERED FREE CASH FLOW BUILD  ($mm)</t>
  </si>
  <si>
    <t xml:space="preserve">( – ) Tax on EBIT</t>
  </si>
  <si>
    <t xml:space="preserve">NOPAT</t>
  </si>
  <si>
    <t xml:space="preserve">( + ) D&amp;A</t>
  </si>
  <si>
    <t xml:space="preserve">( – ) Capex</t>
  </si>
  <si>
    <t xml:space="preserve">( +/– ) Change in NWC</t>
  </si>
  <si>
    <t xml:space="preserve">Unlevered FCF (UFCF)</t>
  </si>
  <si>
    <t xml:space="preserve">WACC DERIVATION</t>
  </si>
  <si>
    <t xml:space="preserve">COST OF EQUITY  (CAPM)</t>
  </si>
  <si>
    <t xml:space="preserve">Risk-free rate (Rf)</t>
  </si>
  <si>
    <t xml:space="preserve">10-yr UST, May 2026</t>
  </si>
  <si>
    <t xml:space="preserve">Equity risk premium (ERP)</t>
  </si>
  <si>
    <t xml:space="preserve">Damodaran US ERP Jan 2026</t>
  </si>
  <si>
    <t xml:space="preserve">Levered beta (β)</t>
  </si>
  <si>
    <t xml:space="preserve">5-yr monthly vs S&amp;P 500</t>
  </si>
  <si>
    <t xml:space="preserve">Cost of Equity (Ke)</t>
  </si>
  <si>
    <t xml:space="preserve">Ke = Rf + β × ERP</t>
  </si>
  <si>
    <t xml:space="preserve">COST OF DEBT</t>
  </si>
  <si>
    <t xml:space="preserve">Blended rate on term loans</t>
  </si>
  <si>
    <t xml:space="preserve">Tax rate</t>
  </si>
  <si>
    <t xml:space="preserve">After-tax cost of debt (Kd)</t>
  </si>
  <si>
    <t xml:space="preserve">Kd = Kd_pre × (1 – t)</t>
  </si>
  <si>
    <t xml:space="preserve">CAPITAL STRUCTURE</t>
  </si>
  <si>
    <t xml:space="preserve">Debt / total capital</t>
  </si>
  <si>
    <t xml:space="preserve">Target leverage ~35%</t>
  </si>
  <si>
    <t xml:space="preserve">Equity / total capital</t>
  </si>
  <si>
    <t xml:space="preserve">WACC</t>
  </si>
  <si>
    <t xml:space="preserve">WACC = Ke×We + Kd×Wd</t>
  </si>
  <si>
    <t xml:space="preserve">DCF VALUATION  ($mm except per share)</t>
  </si>
  <si>
    <t xml:space="preserve">STEP 1  —  PRESENT VALUE OF FREE CASH FLOWS</t>
  </si>
  <si>
    <t xml:space="preserve">Unlevered FCF ($mm)</t>
  </si>
  <si>
    <t xml:space="preserve">Discount period (mid-yr)</t>
  </si>
  <si>
    <t xml:space="preserve">0.5</t>
  </si>
  <si>
    <t xml:space="preserve">1.5</t>
  </si>
  <si>
    <t xml:space="preserve">2.5</t>
  </si>
  <si>
    <t xml:space="preserve">3.5</t>
  </si>
  <si>
    <t xml:space="preserve">4.5</t>
  </si>
  <si>
    <t xml:space="preserve">Discount factor</t>
  </si>
  <si>
    <t xml:space="preserve">PV of FCF</t>
  </si>
  <si>
    <t xml:space="preserve">Sum of PV (FCFs)</t>
  </si>
  <si>
    <t xml:space="preserve">STEP 2  —  TERMINAL VALUE  (Gordon Growth Model)</t>
  </si>
  <si>
    <t xml:space="preserve">Terminal year UFCF (FY2029E)</t>
  </si>
  <si>
    <t xml:space="preserve">Terminal Value  [FCF×(1+g)/(WACC–g)]</t>
  </si>
  <si>
    <t xml:space="preserve">PV of Terminal Value</t>
  </si>
  <si>
    <t xml:space="preserve">TV as % of EV (calc below)</t>
  </si>
  <si>
    <t xml:space="preserve">STEP 3  —  ENTERPRISE VALUE  →  EQUITY VALUE  →  SHARE PRICE</t>
  </si>
  <si>
    <t xml:space="preserve">PV of FCFs</t>
  </si>
  <si>
    <t xml:space="preserve">( + ) PV of Terminal Value</t>
  </si>
  <si>
    <t xml:space="preserve">Enterprise Value</t>
  </si>
  <si>
    <t xml:space="preserve">( – ) Net Debt</t>
  </si>
  <si>
    <t xml:space="preserve">Equity Value</t>
  </si>
  <si>
    <t xml:space="preserve">Diluted shares (mm)</t>
  </si>
  <si>
    <t xml:space="preserve">Implied Share Price</t>
  </si>
  <si>
    <t xml:space="preserve">Current Price (ref)</t>
  </si>
  <si>
    <t xml:space="preserve">Premium / (Discount)</t>
  </si>
  <si>
    <t xml:space="preserve">SENSITIVITY ANALYSIS  —  Implied Share Price  ($)</t>
  </si>
  <si>
    <t xml:space="preserve">TABLE 1  —  WACC  ×  Terminal Growth Rate</t>
  </si>
  <si>
    <t xml:space="preserve">WACC  ↓  /  TGR  →</t>
  </si>
  <si>
    <t xml:space="preserve">  ★  Highlighted cell = base case</t>
  </si>
  <si>
    <t xml:space="preserve">TABLE 2  —  WACC  ×  EBITDA Margin (FY2025E)</t>
  </si>
  <si>
    <t xml:space="preserve">WACC  ↓  /  EBITDA Mgn  →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</si>
</sst>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.00%"/>
    <numFmt numFmtId="167" formatCode="0.00"/>
    <numFmt numFmtId="168" formatCode="0.0\x"/>
    <numFmt numFmtId="169" formatCode="#,##0.0"/>
    <numFmt numFmtId="170" formatCode="\$#,##0.0;&quot;($&quot;#,##0.0\);\-"/>
    <numFmt numFmtId="171" formatCode="#,##0.0;\(#,##0.0\);\-"/>
    <numFmt numFmtId="172" formatCode="0.0"/>
    <numFmt numFmtId="173" formatCode="0.00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E94560"/>
      <name val="Arial"/>
      <family val="0"/>
      <charset val="1"/>
    </font>
    <font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b val="true"/>
      <sz val="10"/>
      <color rgb="FF0F3460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3"/>
      <color rgb="FF1A1A2E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E945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8"/>
      <color rgb="FFE9456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0F3460"/>
        <bgColor rgb="FF333333"/>
      </patternFill>
    </fill>
    <fill>
      <patternFill patternType="solid">
        <fgColor rgb="FFF8F9FA"/>
        <bgColor rgb="FFFFFFFF"/>
      </patternFill>
    </fill>
    <fill>
      <patternFill patternType="solid">
        <fgColor rgb="FFEEF1F5"/>
        <bgColor rgb="FFF8F9FA"/>
      </patternFill>
    </fill>
    <fill>
      <patternFill patternType="solid">
        <fgColor rgb="FFE9456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medium">
        <color rgb="FFE9456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1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9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15" fillId="4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6" fontId="1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9" fontId="2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8F9FA"/>
      <rgbColor rgb="FFEEF1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E94560"/>
      <rgbColor rgb="FF555555"/>
      <rgbColor rgb="FFAAAAAA"/>
      <rgbColor rgb="FF0F3460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D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30"/>
  </cols>
  <sheetData>
    <row r="1" customFormat="false" ht="18" hidden="false" customHeight="true" outlineLevel="0" collapsed="false"/>
    <row r="2" customFormat="false" ht="18" hidden="false" customHeight="true" outlineLevel="0" collapsed="false">
      <c r="A2" s="1"/>
      <c r="B2" s="1"/>
      <c r="C2" s="1"/>
      <c r="D2" s="1"/>
    </row>
    <row r="3" customFormat="false" ht="18" hidden="false" customHeight="true" outlineLevel="0" collapsed="false">
      <c r="A3" s="1"/>
      <c r="B3" s="2" t="s">
        <v>0</v>
      </c>
      <c r="C3" s="2"/>
      <c r="D3" s="1"/>
    </row>
    <row r="4" customFormat="false" ht="18" hidden="false" customHeight="true" outlineLevel="0" collapsed="false">
      <c r="A4" s="1"/>
      <c r="B4" s="3" t="s">
        <v>1</v>
      </c>
      <c r="C4" s="3"/>
      <c r="D4" s="1"/>
    </row>
    <row r="5" customFormat="false" ht="18" hidden="false" customHeight="true" outlineLevel="0" collapsed="false">
      <c r="A5" s="1"/>
      <c r="B5" s="1"/>
      <c r="C5" s="1"/>
      <c r="D5" s="1"/>
    </row>
    <row r="6" customFormat="false" ht="18" hidden="false" customHeight="true" outlineLevel="0" collapsed="false">
      <c r="A6" s="1"/>
      <c r="B6" s="4" t="s">
        <v>2</v>
      </c>
      <c r="C6" s="4"/>
      <c r="D6" s="1"/>
    </row>
    <row r="7" customFormat="false" ht="18" hidden="false" customHeight="true" outlineLevel="0" collapsed="false">
      <c r="A7" s="1"/>
      <c r="B7" s="5" t="s">
        <v>3</v>
      </c>
      <c r="C7" s="5"/>
      <c r="D7" s="1"/>
    </row>
    <row r="8" customFormat="false" ht="18" hidden="false" customHeight="true" outlineLevel="0" collapsed="false">
      <c r="A8" s="1"/>
      <c r="B8" s="1"/>
      <c r="C8" s="1"/>
      <c r="D8" s="1"/>
    </row>
    <row r="9" customFormat="false" ht="18" hidden="false" customHeight="true" outlineLevel="0" collapsed="false">
      <c r="A9" s="1"/>
      <c r="B9" s="1"/>
      <c r="C9" s="1"/>
      <c r="D9" s="1"/>
    </row>
    <row r="10" customFormat="false" ht="18" hidden="false" customHeight="true" outlineLevel="0" collapsed="false">
      <c r="A10" s="1"/>
      <c r="B10" s="1"/>
      <c r="C10" s="1"/>
      <c r="D10" s="1"/>
    </row>
    <row r="11" customFormat="false" ht="18" hidden="false" customHeight="true" outlineLevel="0" collapsed="false"/>
    <row r="12" customFormat="false" ht="18" hidden="false" customHeight="true" outlineLevel="0" collapsed="false"/>
    <row r="13" customFormat="false" ht="18" hidden="false" customHeight="true" outlineLevel="0" collapsed="false">
      <c r="B13" s="6" t="s">
        <v>4</v>
      </c>
    </row>
    <row r="14" customFormat="false" ht="18" hidden="false" customHeight="true" outlineLevel="0" collapsed="false">
      <c r="B14" s="7" t="s">
        <v>5</v>
      </c>
      <c r="C14" s="8" t="s">
        <v>6</v>
      </c>
    </row>
    <row r="15" customFormat="false" ht="18" hidden="false" customHeight="true" outlineLevel="0" collapsed="false">
      <c r="B15" s="7" t="s">
        <v>7</v>
      </c>
      <c r="C15" s="8" t="s">
        <v>8</v>
      </c>
    </row>
    <row r="16" customFormat="false" ht="18" hidden="false" customHeight="true" outlineLevel="0" collapsed="false">
      <c r="B16" s="7" t="s">
        <v>9</v>
      </c>
      <c r="C16" s="8" t="s">
        <v>10</v>
      </c>
    </row>
    <row r="17" customFormat="false" ht="18" hidden="false" customHeight="true" outlineLevel="0" collapsed="false">
      <c r="B17" s="7" t="s">
        <v>11</v>
      </c>
      <c r="C17" s="8" t="s">
        <v>12</v>
      </c>
    </row>
    <row r="18" customFormat="false" ht="18" hidden="false" customHeight="true" outlineLevel="0" collapsed="false">
      <c r="B18" s="7" t="s">
        <v>13</v>
      </c>
      <c r="C18" s="8" t="s">
        <v>14</v>
      </c>
    </row>
    <row r="19" customFormat="false" ht="18" hidden="false" customHeight="true" outlineLevel="0" collapsed="false">
      <c r="B19" s="7" t="s">
        <v>15</v>
      </c>
      <c r="C19" s="8" t="s">
        <v>16</v>
      </c>
    </row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>
      <c r="B22" s="6" t="s">
        <v>17</v>
      </c>
    </row>
    <row r="23" customFormat="false" ht="18" hidden="false" customHeight="true" outlineLevel="0" collapsed="false">
      <c r="B23" s="9" t="s">
        <v>18</v>
      </c>
    </row>
    <row r="24" customFormat="false" ht="18" hidden="false" customHeight="true" outlineLevel="0" collapsed="false">
      <c r="B24" s="9" t="s">
        <v>19</v>
      </c>
    </row>
    <row r="25" customFormat="false" ht="18" hidden="false" customHeight="true" outlineLevel="0" collapsed="false">
      <c r="B25" s="9" t="s">
        <v>20</v>
      </c>
    </row>
    <row r="26" customFormat="false" ht="18" hidden="false" customHeight="true" outlineLevel="0" collapsed="false">
      <c r="B26" s="9" t="s">
        <v>21</v>
      </c>
    </row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</sheetData>
  <mergeCells count="4">
    <mergeCell ref="B3:C3"/>
    <mergeCell ref="B4:C4"/>
    <mergeCell ref="B6:C6"/>
    <mergeCell ref="B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B2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0"/>
  </cols>
  <sheetData>
    <row r="2" customFormat="false" ht="16.15" hidden="false" customHeight="false" outlineLevel="0" collapsed="false">
      <c r="B2" s="10" t="s">
        <v>22</v>
      </c>
      <c r="C2" s="11" t="s">
        <v>23</v>
      </c>
    </row>
    <row r="4" customFormat="false" ht="18" hidden="false" customHeight="true" outlineLevel="0" collapsed="false">
      <c r="B4" s="12" t="s">
        <v>24</v>
      </c>
      <c r="C4" s="12"/>
      <c r="D4" s="12"/>
    </row>
    <row r="5" customFormat="false" ht="15.75" hidden="false" customHeight="true" outlineLevel="0" collapsed="false">
      <c r="B5" s="13" t="s">
        <v>25</v>
      </c>
      <c r="C5" s="14" t="n">
        <v>0.155</v>
      </c>
    </row>
    <row r="6" customFormat="false" ht="15.75" hidden="false" customHeight="true" outlineLevel="0" collapsed="false">
      <c r="B6" s="13" t="s">
        <v>26</v>
      </c>
      <c r="C6" s="14" t="n">
        <v>0.145</v>
      </c>
    </row>
    <row r="7" customFormat="false" ht="15.75" hidden="false" customHeight="true" outlineLevel="0" collapsed="false">
      <c r="B7" s="13" t="s">
        <v>27</v>
      </c>
      <c r="C7" s="14" t="n">
        <v>0.135</v>
      </c>
    </row>
    <row r="8" customFormat="false" ht="15.75" hidden="false" customHeight="true" outlineLevel="0" collapsed="false">
      <c r="B8" s="13" t="s">
        <v>28</v>
      </c>
      <c r="C8" s="14" t="n">
        <v>0.125</v>
      </c>
    </row>
    <row r="9" customFormat="false" ht="15.75" hidden="false" customHeight="true" outlineLevel="0" collapsed="false">
      <c r="B9" s="13" t="s">
        <v>29</v>
      </c>
      <c r="C9" s="14" t="n">
        <v>0.115</v>
      </c>
    </row>
    <row r="11" customFormat="false" ht="18" hidden="false" customHeight="true" outlineLevel="0" collapsed="false">
      <c r="B11" s="12" t="s">
        <v>30</v>
      </c>
      <c r="C11" s="12"/>
      <c r="D11" s="12"/>
    </row>
    <row r="12" customFormat="false" ht="15.75" hidden="false" customHeight="true" outlineLevel="0" collapsed="false">
      <c r="B12" s="13" t="s">
        <v>31</v>
      </c>
      <c r="C12" s="14" t="n">
        <v>0.295</v>
      </c>
    </row>
    <row r="13" customFormat="false" ht="15.75" hidden="false" customHeight="true" outlineLevel="0" collapsed="false">
      <c r="B13" s="13" t="s">
        <v>32</v>
      </c>
      <c r="C13" s="14" t="n">
        <v>0.305</v>
      </c>
    </row>
    <row r="14" customFormat="false" ht="15.75" hidden="false" customHeight="true" outlineLevel="0" collapsed="false">
      <c r="B14" s="13" t="s">
        <v>33</v>
      </c>
      <c r="C14" s="14" t="n">
        <v>0.31</v>
      </c>
    </row>
    <row r="15" customFormat="false" ht="15.75" hidden="false" customHeight="true" outlineLevel="0" collapsed="false">
      <c r="B15" s="13" t="s">
        <v>34</v>
      </c>
      <c r="C15" s="14" t="n">
        <v>0.315</v>
      </c>
    </row>
    <row r="16" customFormat="false" ht="15.75" hidden="false" customHeight="true" outlineLevel="0" collapsed="false">
      <c r="B16" s="13" t="s">
        <v>35</v>
      </c>
      <c r="C16" s="14" t="n">
        <v>0.32</v>
      </c>
    </row>
    <row r="17" customFormat="false" ht="15.75" hidden="false" customHeight="true" outlineLevel="0" collapsed="false">
      <c r="B17" s="13" t="s">
        <v>36</v>
      </c>
      <c r="C17" s="14" t="n">
        <v>0.033</v>
      </c>
    </row>
    <row r="18" customFormat="false" ht="15.75" hidden="false" customHeight="true" outlineLevel="0" collapsed="false">
      <c r="B18" s="13" t="s">
        <v>37</v>
      </c>
      <c r="C18" s="14" t="n">
        <v>0.258</v>
      </c>
    </row>
    <row r="20" customFormat="false" ht="18" hidden="false" customHeight="true" outlineLevel="0" collapsed="false">
      <c r="B20" s="12" t="s">
        <v>38</v>
      </c>
      <c r="C20" s="12"/>
      <c r="D20" s="12"/>
    </row>
    <row r="21" customFormat="false" ht="15.75" hidden="false" customHeight="true" outlineLevel="0" collapsed="false">
      <c r="B21" s="13" t="s">
        <v>39</v>
      </c>
      <c r="C21" s="14" t="n">
        <v>0.028</v>
      </c>
    </row>
    <row r="22" customFormat="false" ht="15.75" hidden="false" customHeight="true" outlineLevel="0" collapsed="false">
      <c r="B22" s="13" t="s">
        <v>40</v>
      </c>
      <c r="C22" s="14" t="n">
        <v>0.02</v>
      </c>
    </row>
    <row r="24" customFormat="false" ht="18" hidden="false" customHeight="true" outlineLevel="0" collapsed="false">
      <c r="B24" s="12" t="s">
        <v>41</v>
      </c>
      <c r="C24" s="12"/>
      <c r="D24" s="12"/>
    </row>
    <row r="25" customFormat="false" ht="15.75" hidden="false" customHeight="true" outlineLevel="0" collapsed="false">
      <c r="B25" s="13" t="s">
        <v>42</v>
      </c>
      <c r="C25" s="15" t="n">
        <v>0.043</v>
      </c>
    </row>
    <row r="26" customFormat="false" ht="15.75" hidden="false" customHeight="true" outlineLevel="0" collapsed="false">
      <c r="B26" s="13" t="s">
        <v>43</v>
      </c>
      <c r="C26" s="15" t="n">
        <v>0.046</v>
      </c>
    </row>
    <row r="27" customFormat="false" ht="15.75" hidden="false" customHeight="true" outlineLevel="0" collapsed="false">
      <c r="B27" s="13" t="s">
        <v>44</v>
      </c>
      <c r="C27" s="16" t="n">
        <v>1.18</v>
      </c>
    </row>
    <row r="28" customFormat="false" ht="15.75" hidden="false" customHeight="true" outlineLevel="0" collapsed="false">
      <c r="B28" s="13" t="s">
        <v>45</v>
      </c>
      <c r="C28" s="17" t="n">
        <f aca="false">C25+C27*C26</f>
        <v>0.09728</v>
      </c>
    </row>
    <row r="29" customFormat="false" ht="15.75" hidden="false" customHeight="true" outlineLevel="0" collapsed="false">
      <c r="B29" s="13" t="s">
        <v>46</v>
      </c>
      <c r="C29" s="15" t="n">
        <v>0.055</v>
      </c>
    </row>
    <row r="30" customFormat="false" ht="15.75" hidden="false" customHeight="true" outlineLevel="0" collapsed="false">
      <c r="B30" s="13" t="s">
        <v>47</v>
      </c>
      <c r="C30" s="17" t="n">
        <f aca="false">C29*(1-C18)</f>
        <v>0.04081</v>
      </c>
    </row>
    <row r="31" customFormat="false" ht="15.75" hidden="false" customHeight="true" outlineLevel="0" collapsed="false">
      <c r="B31" s="13" t="s">
        <v>48</v>
      </c>
      <c r="C31" s="14" t="n">
        <v>0.35</v>
      </c>
    </row>
    <row r="32" customFormat="false" ht="15.75" hidden="false" customHeight="true" outlineLevel="0" collapsed="false">
      <c r="B32" s="13" t="s">
        <v>49</v>
      </c>
      <c r="C32" s="18" t="n">
        <f aca="false">1-C31</f>
        <v>0.65</v>
      </c>
    </row>
    <row r="33" customFormat="false" ht="15.75" hidden="false" customHeight="true" outlineLevel="0" collapsed="false">
      <c r="B33" s="13" t="s">
        <v>50</v>
      </c>
      <c r="C33" s="19" t="n">
        <f aca="false">C28*C32+C30*C31</f>
        <v>0.0775155</v>
      </c>
    </row>
    <row r="35" customFormat="false" ht="18" hidden="false" customHeight="true" outlineLevel="0" collapsed="false">
      <c r="B35" s="12" t="s">
        <v>51</v>
      </c>
      <c r="C35" s="12"/>
      <c r="D35" s="12"/>
    </row>
    <row r="36" customFormat="false" ht="15.75" hidden="false" customHeight="true" outlineLevel="0" collapsed="false">
      <c r="B36" s="13" t="s">
        <v>52</v>
      </c>
      <c r="C36" s="14" t="n">
        <v>0.03</v>
      </c>
    </row>
    <row r="37" customFormat="false" ht="15.75" hidden="false" customHeight="true" outlineLevel="0" collapsed="false">
      <c r="B37" s="13" t="s">
        <v>53</v>
      </c>
      <c r="C37" s="20" t="n">
        <v>25</v>
      </c>
    </row>
    <row r="39" customFormat="false" ht="18" hidden="false" customHeight="true" outlineLevel="0" collapsed="false">
      <c r="B39" s="12" t="s">
        <v>54</v>
      </c>
      <c r="C39" s="12"/>
      <c r="D39" s="12"/>
    </row>
    <row r="40" customFormat="false" ht="15.75" hidden="false" customHeight="true" outlineLevel="0" collapsed="false">
      <c r="B40" s="13" t="s">
        <v>55</v>
      </c>
      <c r="C40" s="21" t="n">
        <v>28.5</v>
      </c>
    </row>
    <row r="41" customFormat="false" ht="15.75" hidden="false" customHeight="true" outlineLevel="0" collapsed="false">
      <c r="B41" s="13" t="s">
        <v>56</v>
      </c>
      <c r="C41" s="22" t="n">
        <v>316</v>
      </c>
    </row>
    <row r="42" customFormat="false" ht="15.75" hidden="false" customHeight="true" outlineLevel="0" collapsed="false">
      <c r="B42" s="13" t="s">
        <v>57</v>
      </c>
      <c r="C42" s="22" t="n">
        <v>285</v>
      </c>
    </row>
  </sheetData>
  <mergeCells count="6">
    <mergeCell ref="B4:D4"/>
    <mergeCell ref="B11:D11"/>
    <mergeCell ref="B20:D20"/>
    <mergeCell ref="B24:D24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B2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11" min="3" style="0" width="12"/>
  </cols>
  <sheetData>
    <row r="2" customFormat="false" ht="16.15" hidden="false" customHeight="false" outlineLevel="0" collapsed="false">
      <c r="B2" s="10" t="s">
        <v>58</v>
      </c>
    </row>
    <row r="4" customFormat="false" ht="18" hidden="false" customHeight="true" outlineLevel="0" collapsed="false">
      <c r="C4" s="23" t="s">
        <v>59</v>
      </c>
      <c r="D4" s="23" t="s">
        <v>60</v>
      </c>
      <c r="E4" s="23" t="s">
        <v>61</v>
      </c>
      <c r="F4" s="23" t="s">
        <v>62</v>
      </c>
      <c r="G4" s="24" t="s">
        <v>63</v>
      </c>
      <c r="H4" s="24" t="s">
        <v>64</v>
      </c>
      <c r="I4" s="24" t="s">
        <v>65</v>
      </c>
      <c r="J4" s="24" t="s">
        <v>66</v>
      </c>
      <c r="K4" s="24" t="s">
        <v>67</v>
      </c>
    </row>
    <row r="5" customFormat="false" ht="15.75" hidden="false" customHeight="true" outlineLevel="0" collapsed="false">
      <c r="B5" s="25" t="s">
        <v>68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15.75" hidden="false" customHeight="true" outlineLevel="0" collapsed="false">
      <c r="B6" s="27" t="s">
        <v>69</v>
      </c>
      <c r="C6" s="28" t="n">
        <v>134.1</v>
      </c>
      <c r="D6" s="28" t="n">
        <v>176.3</v>
      </c>
      <c r="E6" s="28" t="n">
        <v>220</v>
      </c>
      <c r="F6" s="28" t="n">
        <v>265.4</v>
      </c>
      <c r="G6" s="29" t="n">
        <f aca="false">G10*0.681</f>
        <v>306.6777945</v>
      </c>
      <c r="H6" s="29" t="n">
        <f aca="false">H10*0.681</f>
        <v>351.1460747025</v>
      </c>
      <c r="I6" s="29" t="n">
        <f aca="false">I10*0.681</f>
        <v>398.550794787338</v>
      </c>
      <c r="J6" s="29" t="n">
        <f aca="false">J10*0.681</f>
        <v>448.369644135755</v>
      </c>
      <c r="K6" s="29" t="n">
        <f aca="false">K10*0.681</f>
        <v>499.932153211366</v>
      </c>
    </row>
    <row r="7" customFormat="false" ht="15.75" hidden="false" customHeight="true" outlineLevel="0" collapsed="false">
      <c r="B7" s="27" t="s">
        <v>70</v>
      </c>
      <c r="C7" s="28" t="n">
        <v>6.7</v>
      </c>
      <c r="D7" s="28" t="n">
        <v>7.8</v>
      </c>
      <c r="E7" s="28" t="n">
        <v>9.2</v>
      </c>
      <c r="F7" s="28" t="n">
        <v>10.5</v>
      </c>
      <c r="G7" s="29" t="n">
        <f aca="false">G10*0.027</f>
        <v>12.1590315</v>
      </c>
      <c r="H7" s="29" t="n">
        <f aca="false">H10*0.027</f>
        <v>13.9220910675</v>
      </c>
      <c r="I7" s="29" t="n">
        <f aca="false">I10*0.027</f>
        <v>15.8015733616125</v>
      </c>
      <c r="J7" s="29" t="n">
        <f aca="false">J10*0.027</f>
        <v>17.7767700318141</v>
      </c>
      <c r="K7" s="29" t="n">
        <f aca="false">K10*0.027</f>
        <v>19.8210985854727</v>
      </c>
    </row>
    <row r="8" customFormat="false" ht="15.75" hidden="false" customHeight="true" outlineLevel="0" collapsed="false">
      <c r="B8" s="27" t="s">
        <v>71</v>
      </c>
      <c r="C8" s="28" t="n">
        <v>31.2</v>
      </c>
      <c r="D8" s="28" t="n">
        <v>44.3</v>
      </c>
      <c r="E8" s="28" t="n">
        <v>52.1</v>
      </c>
      <c r="F8" s="28" t="n">
        <v>57.8</v>
      </c>
      <c r="G8" s="29" t="n">
        <f aca="false">G10*0.148</f>
        <v>66.649506</v>
      </c>
      <c r="H8" s="29" t="n">
        <f aca="false">H10*0.148</f>
        <v>76.31368437</v>
      </c>
      <c r="I8" s="29" t="n">
        <f aca="false">I10*0.148</f>
        <v>86.61603175995</v>
      </c>
      <c r="J8" s="29" t="n">
        <f aca="false">J10*0.148</f>
        <v>97.4430357299437</v>
      </c>
      <c r="K8" s="29" t="n">
        <f aca="false">K10*0.148</f>
        <v>108.648984838887</v>
      </c>
    </row>
    <row r="9" customFormat="false" ht="15.75" hidden="false" customHeight="true" outlineLevel="0" collapsed="false">
      <c r="B9" s="27" t="s">
        <v>72</v>
      </c>
      <c r="C9" s="28" t="n">
        <v>29.5</v>
      </c>
      <c r="D9" s="28" t="n">
        <v>38</v>
      </c>
      <c r="E9" s="28" t="n">
        <v>47.5</v>
      </c>
      <c r="F9" s="28" t="n">
        <v>56.2</v>
      </c>
      <c r="G9" s="29" t="n">
        <f aca="false">G10*0.144</f>
        <v>64.848168</v>
      </c>
      <c r="H9" s="29" t="n">
        <f aca="false">H10*0.144</f>
        <v>74.25115236</v>
      </c>
      <c r="I9" s="29" t="n">
        <f aca="false">I10*0.144</f>
        <v>84.2750579286</v>
      </c>
      <c r="J9" s="29" t="n">
        <f aca="false">J10*0.144</f>
        <v>94.809440169675</v>
      </c>
      <c r="K9" s="29" t="n">
        <f aca="false">K10*0.144</f>
        <v>105.712525789188</v>
      </c>
    </row>
    <row r="10" customFormat="false" ht="15.75" hidden="false" customHeight="true" outlineLevel="0" collapsed="false">
      <c r="B10" s="30" t="s">
        <v>73</v>
      </c>
      <c r="C10" s="31" t="n">
        <v>201.5</v>
      </c>
      <c r="D10" s="31" t="n">
        <v>266.4</v>
      </c>
      <c r="E10" s="31" t="n">
        <v>328.8</v>
      </c>
      <c r="F10" s="31" t="n">
        <v>389.9</v>
      </c>
      <c r="G10" s="32" t="n">
        <f aca="false">F10*(1+0.155)</f>
        <v>450.3345</v>
      </c>
      <c r="H10" s="32" t="n">
        <f aca="false">G10*(1+0.145)</f>
        <v>515.6330025</v>
      </c>
      <c r="I10" s="32" t="n">
        <f aca="false">H10*(1+0.135)</f>
        <v>585.2434578375</v>
      </c>
      <c r="J10" s="32" t="n">
        <f aca="false">I10*(1+0.125)</f>
        <v>658.398890067187</v>
      </c>
      <c r="K10" s="32" t="n">
        <f aca="false">J10*(1+0.115)</f>
        <v>734.114762424914</v>
      </c>
    </row>
    <row r="11" customFormat="false" ht="15.75" hidden="false" customHeight="true" outlineLevel="0" collapsed="false">
      <c r="B11" s="25" t="s">
        <v>74</v>
      </c>
      <c r="C11" s="26"/>
      <c r="D11" s="26"/>
      <c r="E11" s="26"/>
      <c r="F11" s="26"/>
      <c r="G11" s="26"/>
      <c r="H11" s="26"/>
      <c r="I11" s="26"/>
      <c r="J11" s="26"/>
      <c r="K11" s="26"/>
    </row>
    <row r="12" customFormat="false" ht="15.75" hidden="false" customHeight="true" outlineLevel="0" collapsed="false">
      <c r="B12" s="27" t="s">
        <v>75</v>
      </c>
      <c r="C12" s="28" t="n">
        <v>24.2</v>
      </c>
      <c r="D12" s="28" t="n">
        <v>33.1</v>
      </c>
      <c r="E12" s="28" t="n">
        <v>38.8</v>
      </c>
      <c r="F12" s="28" t="n">
        <v>43.2</v>
      </c>
      <c r="G12" s="29" t="n">
        <f aca="false">G10*0.111</f>
        <v>49.9871295</v>
      </c>
      <c r="H12" s="29" t="n">
        <f aca="false">H10*0.111</f>
        <v>57.2352632775</v>
      </c>
      <c r="I12" s="29" t="n">
        <f aca="false">I10*0.111</f>
        <v>64.9620238199625</v>
      </c>
      <c r="J12" s="29" t="n">
        <f aca="false">J10*0.111</f>
        <v>73.0822767974578</v>
      </c>
      <c r="K12" s="29" t="n">
        <f aca="false">K10*0.111</f>
        <v>81.4867386291654</v>
      </c>
    </row>
    <row r="13" customFormat="false" ht="15.75" hidden="false" customHeight="true" outlineLevel="0" collapsed="false">
      <c r="B13" s="27" t="s">
        <v>76</v>
      </c>
      <c r="C13" s="28" t="n">
        <v>81.3</v>
      </c>
      <c r="D13" s="28" t="n">
        <v>97.4</v>
      </c>
      <c r="E13" s="28" t="n">
        <v>112.5</v>
      </c>
      <c r="F13" s="28" t="n">
        <v>129.8</v>
      </c>
      <c r="G13" s="29" t="n">
        <f aca="false">G10-G12-G14-G16</f>
        <v>267.498693</v>
      </c>
      <c r="H13" s="29" t="n">
        <f aca="false">H10-H12-H14-H16</f>
        <v>301.12967346</v>
      </c>
      <c r="I13" s="29" t="n">
        <f aca="false">I10-I12-I14-I16</f>
        <v>338.855962087912</v>
      </c>
      <c r="J13" s="29" t="n">
        <f aca="false">J10-J12-J14-J16</f>
        <v>377.920962898566</v>
      </c>
      <c r="K13" s="29" t="n">
        <f aca="false">K10-K12-K14-K16</f>
        <v>417.711299819776</v>
      </c>
    </row>
    <row r="14" customFormat="false" ht="15.75" hidden="false" customHeight="true" outlineLevel="0" collapsed="false">
      <c r="B14" s="27" t="s">
        <v>77</v>
      </c>
      <c r="C14" s="28" t="n">
        <v>7.4</v>
      </c>
      <c r="D14" s="28" t="n">
        <v>9.3</v>
      </c>
      <c r="E14" s="28" t="n">
        <v>10.9</v>
      </c>
      <c r="F14" s="28" t="n">
        <v>13.6</v>
      </c>
      <c r="G14" s="29" t="n">
        <f aca="false">G10*0.035</f>
        <v>15.7617075</v>
      </c>
      <c r="H14" s="29" t="n">
        <f aca="false">H10*0.033</f>
        <v>17.0158890825</v>
      </c>
      <c r="I14" s="29" t="n">
        <f aca="false">I10*0.031</f>
        <v>18.1425471929625</v>
      </c>
      <c r="J14" s="29" t="n">
        <f aca="false">J10*0.03</f>
        <v>19.7519667020156</v>
      </c>
      <c r="K14" s="29" t="n">
        <f aca="false">K10*0.029</f>
        <v>21.2893281103225</v>
      </c>
    </row>
    <row r="15" customFormat="false" ht="15.75" hidden="false" customHeight="true" outlineLevel="0" collapsed="false">
      <c r="B15" s="30" t="s">
        <v>78</v>
      </c>
      <c r="C15" s="33" t="n">
        <f aca="false">C12+C13+C14</f>
        <v>112.9</v>
      </c>
      <c r="D15" s="33" t="n">
        <f aca="false">D12+D13+D14</f>
        <v>139.8</v>
      </c>
      <c r="E15" s="33" t="n">
        <f aca="false">E12+E13+E14</f>
        <v>162.2</v>
      </c>
      <c r="F15" s="33" t="n">
        <f aca="false">F12+F13+F14</f>
        <v>186.6</v>
      </c>
      <c r="G15" s="34" t="n">
        <f aca="false">G12+G13+G14</f>
        <v>333.24753</v>
      </c>
      <c r="H15" s="34" t="n">
        <f aca="false">H12+H13+H14</f>
        <v>375.38082582</v>
      </c>
      <c r="I15" s="34" t="n">
        <f aca="false">I12+I13+I14</f>
        <v>421.960533100837</v>
      </c>
      <c r="J15" s="34" t="n">
        <f aca="false">J12+J13+J14</f>
        <v>470.755206398039</v>
      </c>
      <c r="K15" s="34" t="n">
        <f aca="false">K12+K13+K14</f>
        <v>520.487366559264</v>
      </c>
    </row>
    <row r="16" customFormat="false" ht="15.75" hidden="false" customHeight="true" outlineLevel="0" collapsed="false">
      <c r="B16" s="30" t="s">
        <v>79</v>
      </c>
      <c r="C16" s="31" t="n">
        <v>88.6</v>
      </c>
      <c r="D16" s="31" t="n">
        <v>126.6</v>
      </c>
      <c r="E16" s="31" t="n">
        <v>166.6</v>
      </c>
      <c r="F16" s="31" t="n">
        <v>203.3</v>
      </c>
      <c r="G16" s="35" t="n">
        <f aca="false">G10*0.26</f>
        <v>117.08697</v>
      </c>
      <c r="H16" s="35" t="n">
        <f aca="false">H10*0.272</f>
        <v>140.25217668</v>
      </c>
      <c r="I16" s="35" t="n">
        <f aca="false">I10*0.279</f>
        <v>163.282924736663</v>
      </c>
      <c r="J16" s="35" t="n">
        <f aca="false">J10*0.285</f>
        <v>187.643683669148</v>
      </c>
      <c r="K16" s="35" t="n">
        <f aca="false">K10*0.291</f>
        <v>213.62739586565</v>
      </c>
    </row>
    <row r="17" customFormat="false" ht="15.75" hidden="false" customHeight="true" outlineLevel="0" collapsed="false">
      <c r="B17" s="27" t="s">
        <v>80</v>
      </c>
      <c r="C17" s="28" t="n">
        <v>18.9</v>
      </c>
      <c r="D17" s="28" t="n">
        <v>20.1</v>
      </c>
      <c r="E17" s="28" t="n">
        <v>23.4</v>
      </c>
      <c r="F17" s="28" t="n">
        <v>27.2</v>
      </c>
      <c r="G17" s="28" t="n">
        <v>28</v>
      </c>
      <c r="H17" s="28" t="n">
        <v>28.9</v>
      </c>
      <c r="I17" s="28" t="n">
        <v>29.7</v>
      </c>
      <c r="J17" s="28" t="n">
        <v>30.6</v>
      </c>
      <c r="K17" s="28" t="n">
        <v>31.5</v>
      </c>
    </row>
    <row r="18" customFormat="false" ht="15.75" hidden="false" customHeight="true" outlineLevel="0" collapsed="false">
      <c r="B18" s="30" t="s">
        <v>81</v>
      </c>
      <c r="C18" s="33" t="n">
        <f aca="false">C16-C17</f>
        <v>69.7</v>
      </c>
      <c r="D18" s="33" t="n">
        <f aca="false">D16-D17</f>
        <v>106.5</v>
      </c>
      <c r="E18" s="33" t="n">
        <f aca="false">E16-E17</f>
        <v>143.2</v>
      </c>
      <c r="F18" s="33" t="n">
        <f aca="false">F16-F17</f>
        <v>176.1</v>
      </c>
      <c r="G18" s="34" t="n">
        <f aca="false">G16-G17</f>
        <v>89.08697</v>
      </c>
      <c r="H18" s="34" t="n">
        <f aca="false">H16-H17</f>
        <v>111.35217668</v>
      </c>
      <c r="I18" s="34" t="n">
        <f aca="false">I16-I17</f>
        <v>133.582924736663</v>
      </c>
      <c r="J18" s="34" t="n">
        <f aca="false">J16-J17</f>
        <v>157.043683669148</v>
      </c>
      <c r="K18" s="34" t="n">
        <f aca="false">K16-K17</f>
        <v>182.12739586565</v>
      </c>
    </row>
    <row r="19" customFormat="false" ht="15.75" hidden="false" customHeight="true" outlineLevel="0" collapsed="false">
      <c r="B19" s="27" t="s">
        <v>82</v>
      </c>
      <c r="C19" s="28" t="n">
        <v>17.9</v>
      </c>
      <c r="D19" s="28" t="n">
        <v>27.5</v>
      </c>
      <c r="E19" s="28" t="n">
        <v>37</v>
      </c>
      <c r="F19" s="28" t="n">
        <v>45.4</v>
      </c>
      <c r="G19" s="29" t="n">
        <f aca="false">G18*Assumptions!$C$18</f>
        <v>22.98443826</v>
      </c>
      <c r="H19" s="29" t="n">
        <f aca="false">H18*Assumptions!$C$18</f>
        <v>28.72886158344</v>
      </c>
      <c r="I19" s="29" t="n">
        <f aca="false">I18*Assumptions!$C$18</f>
        <v>34.4643945820589</v>
      </c>
      <c r="J19" s="29" t="n">
        <f aca="false">J18*Assumptions!$C$18</f>
        <v>40.5172703866403</v>
      </c>
      <c r="K19" s="29" t="n">
        <f aca="false">K18*Assumptions!$C$18</f>
        <v>46.9888681333377</v>
      </c>
    </row>
    <row r="20" customFormat="false" ht="15.75" hidden="false" customHeight="true" outlineLevel="0" collapsed="false">
      <c r="B20" s="30" t="s">
        <v>83</v>
      </c>
      <c r="C20" s="31" t="n">
        <v>51.8</v>
      </c>
      <c r="D20" s="31" t="n">
        <v>79</v>
      </c>
      <c r="E20" s="31" t="n">
        <v>106.2</v>
      </c>
      <c r="F20" s="31" t="n">
        <v>130.7</v>
      </c>
      <c r="G20" s="35" t="n">
        <f aca="false">G18-G19</f>
        <v>66.10253174</v>
      </c>
      <c r="H20" s="35" t="n">
        <f aca="false">H18-H19</f>
        <v>82.62331509656</v>
      </c>
      <c r="I20" s="35" t="n">
        <f aca="false">I18-I19</f>
        <v>99.1185301546036</v>
      </c>
      <c r="J20" s="35" t="n">
        <f aca="false">J18-J19</f>
        <v>116.526413282508</v>
      </c>
      <c r="K20" s="35" t="n">
        <f aca="false">K18-K19</f>
        <v>135.138527732312</v>
      </c>
    </row>
    <row r="21" customFormat="false" ht="15.75" hidden="false" customHeight="true" outlineLevel="0" collapsed="false">
      <c r="B21" s="27"/>
    </row>
    <row r="22" customFormat="false" ht="15.75" hidden="false" customHeight="true" outlineLevel="0" collapsed="false">
      <c r="B22" s="25" t="s">
        <v>84</v>
      </c>
      <c r="C22" s="26"/>
      <c r="D22" s="26"/>
      <c r="E22" s="26"/>
      <c r="F22" s="26"/>
      <c r="G22" s="26"/>
      <c r="H22" s="26"/>
      <c r="I22" s="26"/>
      <c r="J22" s="26"/>
      <c r="K22" s="26"/>
    </row>
    <row r="23" customFormat="false" ht="15.75" hidden="false" customHeight="true" outlineLevel="0" collapsed="false">
      <c r="B23" s="27" t="s">
        <v>85</v>
      </c>
      <c r="C23" s="18" t="n">
        <f aca="false">IFERROR((C16+C14)/C10,"")</f>
        <v>0.476426799007444</v>
      </c>
      <c r="D23" s="18" t="n">
        <f aca="false">IFERROR((D16+D14)/D10,"")</f>
        <v>0.510135135135135</v>
      </c>
      <c r="E23" s="18" t="n">
        <f aca="false">IFERROR((E16+E14)/E10,"")</f>
        <v>0.539841849148419</v>
      </c>
      <c r="F23" s="18" t="n">
        <f aca="false">IFERROR((F16+F14)/F10,"")</f>
        <v>0.556296486278533</v>
      </c>
      <c r="G23" s="18" t="n">
        <f aca="false">IFERROR((G16+G14)/G10,"")</f>
        <v>0.295</v>
      </c>
      <c r="H23" s="18" t="n">
        <f aca="false">IFERROR((H16+H14)/H10,"")</f>
        <v>0.305</v>
      </c>
      <c r="I23" s="18" t="n">
        <f aca="false">IFERROR((I16+I14)/I10,"")</f>
        <v>0.31</v>
      </c>
      <c r="J23" s="18" t="n">
        <f aca="false">IFERROR((J16+J14)/J10,"")</f>
        <v>0.315</v>
      </c>
      <c r="K23" s="18" t="n">
        <f aca="false">IFERROR((K16+K14)/K10,"")</f>
        <v>0.32</v>
      </c>
    </row>
    <row r="24" customFormat="false" ht="15.75" hidden="false" customHeight="true" outlineLevel="0" collapsed="false">
      <c r="B24" s="27" t="s">
        <v>86</v>
      </c>
      <c r="C24" s="18" t="n">
        <f aca="false">IFERROR(C16/C10,"")</f>
        <v>0.43970223325062</v>
      </c>
      <c r="D24" s="18" t="n">
        <f aca="false">IFERROR(D16/D10,"")</f>
        <v>0.475225225225225</v>
      </c>
      <c r="E24" s="18" t="n">
        <f aca="false">IFERROR(E16/E10,"")</f>
        <v>0.50669099756691</v>
      </c>
      <c r="F24" s="18" t="n">
        <f aca="false">IFERROR(F16/F10,"")</f>
        <v>0.521415747627597</v>
      </c>
      <c r="G24" s="18" t="n">
        <f aca="false">IFERROR(G16/G10,"")</f>
        <v>0.26</v>
      </c>
      <c r="H24" s="18" t="n">
        <f aca="false">IFERROR(H16/H10,"")</f>
        <v>0.272</v>
      </c>
      <c r="I24" s="18" t="n">
        <f aca="false">IFERROR(I16/I10,"")</f>
        <v>0.279</v>
      </c>
      <c r="J24" s="18" t="n">
        <f aca="false">IFERROR(J16/J10,"")</f>
        <v>0.285</v>
      </c>
      <c r="K24" s="18" t="n">
        <f aca="false">IFERROR(K16/K10,"")</f>
        <v>0.291</v>
      </c>
    </row>
    <row r="25" customFormat="false" ht="15.75" hidden="false" customHeight="true" outlineLevel="0" collapsed="false">
      <c r="B25" s="27" t="s">
        <v>87</v>
      </c>
      <c r="C25" s="18" t="n">
        <f aca="false">IFERROR(C20/C10,"")</f>
        <v>0.257071960297767</v>
      </c>
      <c r="D25" s="18" t="n">
        <f aca="false">IFERROR(D20/D10,"")</f>
        <v>0.296546546546547</v>
      </c>
      <c r="E25" s="18" t="n">
        <f aca="false">IFERROR(E20/E10,"")</f>
        <v>0.322992700729927</v>
      </c>
      <c r="F25" s="18" t="n">
        <f aca="false">IFERROR(F20/F10,"")</f>
        <v>0.335214157476276</v>
      </c>
      <c r="G25" s="18" t="n">
        <f aca="false">IFERROR(G20/G10,"")</f>
        <v>0.146785404493771</v>
      </c>
      <c r="H25" s="18" t="n">
        <f aca="false">IFERROR(H20/H10,"")</f>
        <v>0.160236669677791</v>
      </c>
      <c r="I25" s="18" t="n">
        <f aca="false">IFERROR(I20/I10,"")</f>
        <v>0.169362901587744</v>
      </c>
      <c r="J25" s="18" t="n">
        <f aca="false">IFERROR(J20/J10,"")</f>
        <v>0.176984522666217</v>
      </c>
      <c r="K25" s="18" t="n">
        <f aca="false">IFERROR(K20/K10,"")</f>
        <v>0.184083653740902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B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7" min="3" style="0" width="12"/>
  </cols>
  <sheetData>
    <row r="2" customFormat="false" ht="16.15" hidden="false" customHeight="false" outlineLevel="0" collapsed="false">
      <c r="B2" s="10" t="s">
        <v>88</v>
      </c>
    </row>
    <row r="4" customFormat="false" ht="18" hidden="false" customHeight="true" outlineLevel="0" collapsed="false">
      <c r="C4" s="24" t="s">
        <v>63</v>
      </c>
      <c r="D4" s="24" t="s">
        <v>64</v>
      </c>
      <c r="E4" s="24" t="s">
        <v>65</v>
      </c>
      <c r="F4" s="24" t="s">
        <v>66</v>
      </c>
      <c r="G4" s="24" t="s">
        <v>67</v>
      </c>
    </row>
    <row r="5" customFormat="false" ht="15.75" hidden="false" customHeight="true" outlineLevel="0" collapsed="false">
      <c r="B5" s="25" t="s">
        <v>79</v>
      </c>
      <c r="C5" s="36" t="n">
        <f aca="false">'Income Statement'!G16</f>
        <v>117.08697</v>
      </c>
      <c r="D5" s="36" t="n">
        <f aca="false">'Income Statement'!H16</f>
        <v>140.25217668</v>
      </c>
      <c r="E5" s="36" t="n">
        <f aca="false">'Income Statement'!I16</f>
        <v>163.282924736663</v>
      </c>
      <c r="F5" s="36" t="n">
        <f aca="false">'Income Statement'!J16</f>
        <v>187.643683669148</v>
      </c>
      <c r="G5" s="36" t="n">
        <f aca="false">'Income Statement'!K16</f>
        <v>213.62739586565</v>
      </c>
    </row>
    <row r="6" customFormat="false" ht="15.75" hidden="false" customHeight="true" outlineLevel="0" collapsed="false">
      <c r="B6" s="37" t="s">
        <v>89</v>
      </c>
      <c r="C6" s="36" t="n">
        <f aca="false">-'Income Statement'!G16*Assumptions!$C$18</f>
        <v>-30.20843826</v>
      </c>
      <c r="D6" s="36" t="n">
        <f aca="false">-'Income Statement'!H16*Assumptions!$C$18</f>
        <v>-36.18506158344</v>
      </c>
      <c r="E6" s="36" t="n">
        <f aca="false">-'Income Statement'!I16*Assumptions!$C$18</f>
        <v>-42.1269945820589</v>
      </c>
      <c r="F6" s="36" t="n">
        <f aca="false">-'Income Statement'!J16*Assumptions!$C$18</f>
        <v>-48.4120703866403</v>
      </c>
      <c r="G6" s="36" t="n">
        <f aca="false">-'Income Statement'!K16*Assumptions!$C$18</f>
        <v>-55.1158681333377</v>
      </c>
    </row>
    <row r="7" customFormat="false" ht="15.75" hidden="false" customHeight="true" outlineLevel="0" collapsed="false">
      <c r="B7" s="30" t="s">
        <v>90</v>
      </c>
      <c r="C7" s="34" t="n">
        <f aca="false">C5+C6</f>
        <v>86.87853174</v>
      </c>
      <c r="D7" s="34" t="n">
        <f aca="false">D5+D6</f>
        <v>104.06711509656</v>
      </c>
      <c r="E7" s="34" t="n">
        <f aca="false">E5+E6</f>
        <v>121.155930154604</v>
      </c>
      <c r="F7" s="34" t="n">
        <f aca="false">F5+F6</f>
        <v>139.231613282508</v>
      </c>
      <c r="G7" s="34" t="n">
        <f aca="false">G5+G6</f>
        <v>158.511527732312</v>
      </c>
    </row>
    <row r="8" customFormat="false" ht="15.75" hidden="false" customHeight="true" outlineLevel="0" collapsed="false">
      <c r="B8" s="37" t="s">
        <v>91</v>
      </c>
      <c r="C8" s="36" t="n">
        <f aca="false">'Income Statement'!G14</f>
        <v>15.7617075</v>
      </c>
      <c r="D8" s="36" t="n">
        <f aca="false">'Income Statement'!H14</f>
        <v>17.0158890825</v>
      </c>
      <c r="E8" s="36" t="n">
        <f aca="false">'Income Statement'!I14</f>
        <v>18.1425471929625</v>
      </c>
      <c r="F8" s="36" t="n">
        <f aca="false">'Income Statement'!J14</f>
        <v>19.7519667020156</v>
      </c>
      <c r="G8" s="36" t="n">
        <f aca="false">'Income Statement'!K14</f>
        <v>21.2893281103225</v>
      </c>
    </row>
    <row r="9" customFormat="false" ht="15.75" hidden="false" customHeight="true" outlineLevel="0" collapsed="false">
      <c r="B9" s="37" t="s">
        <v>92</v>
      </c>
      <c r="C9" s="36" t="n">
        <f aca="false">-'Income Statement'!G10*0.03</f>
        <v>-13.510035</v>
      </c>
      <c r="D9" s="36" t="n">
        <f aca="false">-'Income Statement'!H10*0.028</f>
        <v>-14.43772407</v>
      </c>
      <c r="E9" s="36" t="n">
        <f aca="false">-'Income Statement'!I10*0.027</f>
        <v>-15.8015733616125</v>
      </c>
      <c r="F9" s="36" t="n">
        <f aca="false">-'Income Statement'!J10*0.026</f>
        <v>-17.1183711417469</v>
      </c>
      <c r="G9" s="36" t="n">
        <f aca="false">-'Income Statement'!K10*0.025</f>
        <v>-18.3528690606228</v>
      </c>
    </row>
    <row r="10" customFormat="false" ht="15.75" hidden="false" customHeight="true" outlineLevel="0" collapsed="false">
      <c r="B10" s="37" t="s">
        <v>93</v>
      </c>
      <c r="C10" s="36" t="n">
        <f aca="false">-('Income Statement'!G10-'Income Statement'!F10)*Assumptions!$C$22</f>
        <v>-1.20869</v>
      </c>
      <c r="D10" s="36" t="n">
        <f aca="false">-('Income Statement'!H10-'Income Statement'!G10)*Assumptions!$C$22</f>
        <v>-1.30597005</v>
      </c>
      <c r="E10" s="36" t="n">
        <f aca="false">-('Income Statement'!I10-'Income Statement'!H10)*Assumptions!$C$22</f>
        <v>-1.39220910675</v>
      </c>
      <c r="F10" s="36" t="n">
        <f aca="false">-('Income Statement'!J10-'Income Statement'!I10)*Assumptions!$C$22</f>
        <v>-1.46310864459375</v>
      </c>
      <c r="G10" s="36" t="n">
        <f aca="false">-('Income Statement'!K10-'Income Statement'!J10)*Assumptions!$C$22</f>
        <v>-1.51431744715453</v>
      </c>
    </row>
    <row r="11" customFormat="false" ht="15.75" hidden="false" customHeight="true" outlineLevel="0" collapsed="false">
      <c r="B11" s="30" t="s">
        <v>94</v>
      </c>
      <c r="C11" s="35" t="n">
        <f aca="false">SUM(C7:C10)</f>
        <v>87.92151424</v>
      </c>
      <c r="D11" s="35" t="n">
        <f aca="false">SUM(D7:D10)</f>
        <v>105.33931005906</v>
      </c>
      <c r="E11" s="35" t="n">
        <f aca="false">SUM(E7:E10)</f>
        <v>122.104694879204</v>
      </c>
      <c r="F11" s="35" t="n">
        <f aca="false">SUM(F7:F10)</f>
        <v>140.402100198183</v>
      </c>
      <c r="G11" s="35" t="n">
        <f aca="false">SUM(G7:G10)</f>
        <v>159.933669334857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30"/>
  </cols>
  <sheetData>
    <row r="2" customFormat="false" ht="16.15" hidden="false" customHeight="false" outlineLevel="0" collapsed="false">
      <c r="B2" s="10" t="s">
        <v>95</v>
      </c>
    </row>
    <row r="4" customFormat="false" ht="18" hidden="false" customHeight="true" outlineLevel="0" collapsed="false">
      <c r="B4" s="12" t="s">
        <v>96</v>
      </c>
      <c r="C4" s="12"/>
      <c r="D4" s="12"/>
    </row>
    <row r="5" customFormat="false" ht="15.75" hidden="false" customHeight="true" outlineLevel="0" collapsed="false">
      <c r="B5" s="38" t="s">
        <v>97</v>
      </c>
      <c r="C5" s="39" t="n">
        <f aca="false">Assumptions!C25</f>
        <v>0.043</v>
      </c>
      <c r="D5" s="11" t="s">
        <v>98</v>
      </c>
    </row>
    <row r="6" customFormat="false" ht="15.75" hidden="false" customHeight="true" outlineLevel="0" collapsed="false">
      <c r="B6" s="38" t="s">
        <v>99</v>
      </c>
      <c r="C6" s="39" t="n">
        <f aca="false">Assumptions!C26</f>
        <v>0.046</v>
      </c>
      <c r="D6" s="11" t="s">
        <v>100</v>
      </c>
    </row>
    <row r="7" customFormat="false" ht="15.75" hidden="false" customHeight="true" outlineLevel="0" collapsed="false">
      <c r="B7" s="38" t="s">
        <v>101</v>
      </c>
      <c r="C7" s="40" t="n">
        <f aca="false">Assumptions!C27</f>
        <v>1.18</v>
      </c>
      <c r="D7" s="11" t="s">
        <v>102</v>
      </c>
    </row>
    <row r="8" customFormat="false" ht="15.75" hidden="false" customHeight="true" outlineLevel="0" collapsed="false">
      <c r="B8" s="41" t="s">
        <v>103</v>
      </c>
      <c r="C8" s="42" t="n">
        <f aca="false">Assumptions!C28</f>
        <v>0.09728</v>
      </c>
      <c r="D8" s="11" t="s">
        <v>104</v>
      </c>
    </row>
    <row r="10" customFormat="false" ht="18" hidden="false" customHeight="true" outlineLevel="0" collapsed="false">
      <c r="B10" s="12" t="s">
        <v>105</v>
      </c>
      <c r="C10" s="12"/>
      <c r="D10" s="12"/>
    </row>
    <row r="11" customFormat="false" ht="15.75" hidden="false" customHeight="true" outlineLevel="0" collapsed="false">
      <c r="B11" s="38" t="s">
        <v>46</v>
      </c>
      <c r="C11" s="39" t="n">
        <f aca="false">Assumptions!C29</f>
        <v>0.055</v>
      </c>
      <c r="D11" s="11" t="s">
        <v>106</v>
      </c>
    </row>
    <row r="12" customFormat="false" ht="15.75" hidden="false" customHeight="true" outlineLevel="0" collapsed="false">
      <c r="B12" s="38" t="s">
        <v>107</v>
      </c>
      <c r="C12" s="43" t="n">
        <f aca="false">Assumptions!C18</f>
        <v>0.258</v>
      </c>
    </row>
    <row r="13" customFormat="false" ht="15.75" hidden="false" customHeight="true" outlineLevel="0" collapsed="false">
      <c r="B13" s="41" t="s">
        <v>108</v>
      </c>
      <c r="C13" s="42" t="n">
        <f aca="false">Assumptions!C30</f>
        <v>0.04081</v>
      </c>
      <c r="D13" s="11" t="s">
        <v>109</v>
      </c>
    </row>
    <row r="15" customFormat="false" ht="18" hidden="false" customHeight="true" outlineLevel="0" collapsed="false">
      <c r="B15" s="12" t="s">
        <v>110</v>
      </c>
      <c r="C15" s="12"/>
      <c r="D15" s="12"/>
    </row>
    <row r="16" customFormat="false" ht="15.75" hidden="false" customHeight="true" outlineLevel="0" collapsed="false">
      <c r="B16" s="38" t="s">
        <v>111</v>
      </c>
      <c r="C16" s="43" t="n">
        <f aca="false">Assumptions!C31</f>
        <v>0.35</v>
      </c>
      <c r="D16" s="11" t="s">
        <v>112</v>
      </c>
    </row>
    <row r="17" customFormat="false" ht="15.75" hidden="false" customHeight="true" outlineLevel="0" collapsed="false">
      <c r="B17" s="38" t="s">
        <v>113</v>
      </c>
      <c r="C17" s="43" t="n">
        <f aca="false">Assumptions!C32</f>
        <v>0.65</v>
      </c>
    </row>
    <row r="19" customFormat="false" ht="18" hidden="false" customHeight="true" outlineLevel="0" collapsed="false">
      <c r="B19" s="12" t="s">
        <v>114</v>
      </c>
      <c r="C19" s="12"/>
      <c r="D19" s="12"/>
    </row>
    <row r="20" customFormat="false" ht="15.75" hidden="false" customHeight="true" outlineLevel="0" collapsed="false">
      <c r="B20" s="41" t="s">
        <v>114</v>
      </c>
      <c r="C20" s="42" t="n">
        <f aca="false">Assumptions!C33</f>
        <v>0.0775155</v>
      </c>
      <c r="D20" s="11" t="s">
        <v>115</v>
      </c>
    </row>
  </sheetData>
  <mergeCells count="4">
    <mergeCell ref="B4:D4"/>
    <mergeCell ref="B10:D10"/>
    <mergeCell ref="B15:D15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B2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9" min="5" style="0" width="12"/>
  </cols>
  <sheetData>
    <row r="2" customFormat="false" ht="16.15" hidden="false" customHeight="false" outlineLevel="0" collapsed="false">
      <c r="B2" s="10" t="s">
        <v>116</v>
      </c>
    </row>
    <row r="4" customFormat="false" ht="18" hidden="false" customHeight="true" outlineLevel="0" collapsed="false">
      <c r="B4" s="12" t="s">
        <v>117</v>
      </c>
      <c r="C4" s="12"/>
      <c r="D4" s="12"/>
      <c r="E4" s="12"/>
      <c r="F4" s="12"/>
      <c r="G4" s="12"/>
      <c r="H4" s="12"/>
      <c r="I4" s="12"/>
    </row>
    <row r="5" customFormat="false" ht="18" hidden="false" customHeight="true" outlineLevel="0" collapsed="false">
      <c r="E5" s="24" t="s">
        <v>63</v>
      </c>
      <c r="F5" s="24" t="s">
        <v>64</v>
      </c>
      <c r="G5" s="24" t="s">
        <v>65</v>
      </c>
      <c r="H5" s="24" t="s">
        <v>66</v>
      </c>
      <c r="I5" s="24" t="s">
        <v>67</v>
      </c>
    </row>
    <row r="6" customFormat="false" ht="15.75" hidden="false" customHeight="true" outlineLevel="0" collapsed="false">
      <c r="B6" s="38" t="s">
        <v>118</v>
      </c>
      <c r="E6" s="36" t="n">
        <f aca="false">'FCF Build'!C11</f>
        <v>87.92151424</v>
      </c>
      <c r="F6" s="36" t="n">
        <f aca="false">'FCF Build'!D11</f>
        <v>105.33931005906</v>
      </c>
      <c r="G6" s="36" t="n">
        <f aca="false">'FCF Build'!E11</f>
        <v>122.104694879204</v>
      </c>
      <c r="H6" s="36" t="n">
        <f aca="false">'FCF Build'!F11</f>
        <v>140.402100198183</v>
      </c>
      <c r="I6" s="36" t="n">
        <f aca="false">'FCF Build'!G11</f>
        <v>159.933669334857</v>
      </c>
    </row>
    <row r="7" customFormat="false" ht="15.75" hidden="false" customHeight="true" outlineLevel="0" collapsed="false">
      <c r="B7" s="38" t="s">
        <v>119</v>
      </c>
      <c r="E7" s="44" t="s">
        <v>120</v>
      </c>
      <c r="F7" s="44" t="s">
        <v>121</v>
      </c>
      <c r="G7" s="44" t="s">
        <v>122</v>
      </c>
      <c r="H7" s="44" t="s">
        <v>123</v>
      </c>
      <c r="I7" s="44" t="s">
        <v>124</v>
      </c>
    </row>
    <row r="8" customFormat="false" ht="15.75" hidden="false" customHeight="true" outlineLevel="0" collapsed="false">
      <c r="B8" s="38" t="s">
        <v>125</v>
      </c>
      <c r="E8" s="45" t="n">
        <f aca="false">1/(1+Assumptions!$C$33)^E7</f>
        <v>0.963359172709602</v>
      </c>
      <c r="F8" s="45" t="n">
        <f aca="false">1/(1+Assumptions!$C$33)^F7</f>
        <v>0.894055976651475</v>
      </c>
      <c r="G8" s="45" t="n">
        <f aca="false">1/(1+Assumptions!$C$33)^G7</f>
        <v>0.829738390446796</v>
      </c>
      <c r="H8" s="45" t="n">
        <f aca="false">1/(1+Assumptions!$C$33)^H7</f>
        <v>0.770047753788039</v>
      </c>
      <c r="I8" s="45" t="n">
        <f aca="false">1/(1+Assumptions!$C$33)^I7</f>
        <v>0.714651208068969</v>
      </c>
    </row>
    <row r="9" customFormat="false" ht="15.75" hidden="false" customHeight="true" outlineLevel="0" collapsed="false">
      <c r="B9" s="38" t="s">
        <v>126</v>
      </c>
      <c r="E9" s="33" t="n">
        <f aca="false">E6*E8</f>
        <v>84.6999972216219</v>
      </c>
      <c r="F9" s="33" t="n">
        <f aca="false">F6*F8</f>
        <v>94.1792397346454</v>
      </c>
      <c r="G9" s="33" t="n">
        <f aca="false">G6*G8</f>
        <v>101.314952995067</v>
      </c>
      <c r="H9" s="33" t="n">
        <f aca="false">H6*H8</f>
        <v>108.116321884734</v>
      </c>
      <c r="I9" s="33" t="n">
        <f aca="false">I6*I8</f>
        <v>114.296790001059</v>
      </c>
    </row>
    <row r="10" customFormat="false" ht="15.75" hidden="false" customHeight="true" outlineLevel="0" collapsed="false">
      <c r="B10" s="46" t="s">
        <v>127</v>
      </c>
      <c r="C10" s="35" t="n">
        <f aca="false">SUM(E9:I9)</f>
        <v>502.607301837128</v>
      </c>
    </row>
    <row r="12" customFormat="false" ht="18" hidden="false" customHeight="true" outlineLevel="0" collapsed="false">
      <c r="B12" s="12" t="s">
        <v>128</v>
      </c>
      <c r="C12" s="12"/>
      <c r="D12" s="12"/>
      <c r="E12" s="12"/>
      <c r="F12" s="12"/>
      <c r="G12" s="12"/>
      <c r="H12" s="12"/>
      <c r="I12" s="12"/>
    </row>
    <row r="13" customFormat="false" ht="15.75" hidden="false" customHeight="true" outlineLevel="0" collapsed="false">
      <c r="B13" s="38" t="s">
        <v>129</v>
      </c>
      <c r="C13" s="36" t="n">
        <f aca="false">'FCF Build'!G11</f>
        <v>159.933669334857</v>
      </c>
    </row>
    <row r="14" customFormat="false" ht="15.75" hidden="false" customHeight="true" outlineLevel="0" collapsed="false">
      <c r="B14" s="38" t="s">
        <v>52</v>
      </c>
      <c r="C14" s="47" t="n">
        <f aca="false">Assumptions!C36</f>
        <v>0.03</v>
      </c>
    </row>
    <row r="15" customFormat="false" ht="15.75" hidden="false" customHeight="true" outlineLevel="0" collapsed="false">
      <c r="B15" s="38" t="s">
        <v>114</v>
      </c>
      <c r="C15" s="48" t="n">
        <f aca="false">Assumptions!C33</f>
        <v>0.0775155</v>
      </c>
    </row>
    <row r="16" customFormat="false" ht="15.75" hidden="false" customHeight="true" outlineLevel="0" collapsed="false">
      <c r="B16" s="38" t="s">
        <v>130</v>
      </c>
      <c r="C16" s="29" t="n">
        <f aca="false">C13*(1+C14)/(C15-C14)</f>
        <v>3466.90405057093</v>
      </c>
    </row>
    <row r="17" customFormat="false" ht="15.75" hidden="false" customHeight="true" outlineLevel="0" collapsed="false">
      <c r="B17" s="49" t="s">
        <v>131</v>
      </c>
      <c r="C17" s="35" t="n">
        <f aca="false">C16/(1+Assumptions!C33)^4.5</f>
        <v>2477.62716799972</v>
      </c>
    </row>
    <row r="18" customFormat="false" ht="15.75" hidden="false" customHeight="true" outlineLevel="0" collapsed="false">
      <c r="B18" s="38" t="s">
        <v>132</v>
      </c>
      <c r="C18" s="18" t="n">
        <f aca="false">IFERROR(C17/(C10+C17),"")</f>
        <v>0.831353100930799</v>
      </c>
    </row>
    <row r="20" customFormat="false" ht="18" hidden="false" customHeight="true" outlineLevel="0" collapsed="false">
      <c r="B20" s="12" t="s">
        <v>133</v>
      </c>
      <c r="C20" s="12"/>
      <c r="D20" s="12"/>
      <c r="E20" s="12"/>
      <c r="F20" s="12"/>
      <c r="G20" s="12"/>
      <c r="H20" s="12"/>
      <c r="I20" s="12"/>
    </row>
    <row r="21" customFormat="false" ht="15.75" hidden="false" customHeight="true" outlineLevel="0" collapsed="false">
      <c r="B21" s="38" t="s">
        <v>134</v>
      </c>
      <c r="C21" s="29" t="n">
        <f aca="false">C10</f>
        <v>502.607301837128</v>
      </c>
    </row>
    <row r="22" customFormat="false" ht="15.75" hidden="false" customHeight="true" outlineLevel="0" collapsed="false">
      <c r="B22" s="38" t="s">
        <v>135</v>
      </c>
      <c r="C22" s="29" t="n">
        <f aca="false">C17</f>
        <v>2477.62716799972</v>
      </c>
    </row>
    <row r="23" customFormat="false" ht="15.75" hidden="false" customHeight="true" outlineLevel="0" collapsed="false">
      <c r="B23" s="46" t="s">
        <v>136</v>
      </c>
      <c r="C23" s="35" t="n">
        <f aca="false">C21+C22</f>
        <v>2980.23446983684</v>
      </c>
    </row>
    <row r="24" customFormat="false" ht="15.75" hidden="false" customHeight="true" outlineLevel="0" collapsed="false">
      <c r="B24" s="38" t="s">
        <v>137</v>
      </c>
      <c r="C24" s="36" t="n">
        <f aca="false">Assumptions!C41</f>
        <v>316</v>
      </c>
    </row>
    <row r="25" customFormat="false" ht="15.75" hidden="false" customHeight="true" outlineLevel="0" collapsed="false">
      <c r="B25" s="46" t="s">
        <v>138</v>
      </c>
      <c r="C25" s="35" t="n">
        <f aca="false">C23-C24</f>
        <v>2664.23446983684</v>
      </c>
    </row>
    <row r="26" customFormat="false" ht="15.75" hidden="false" customHeight="true" outlineLevel="0" collapsed="false">
      <c r="B26" s="38" t="s">
        <v>139</v>
      </c>
      <c r="C26" s="50" t="n">
        <f aca="false">Assumptions!C40</f>
        <v>28.5</v>
      </c>
    </row>
    <row r="27" customFormat="false" ht="19.5" hidden="false" customHeight="true" outlineLevel="0" collapsed="false">
      <c r="B27" s="51" t="s">
        <v>140</v>
      </c>
      <c r="C27" s="52" t="n">
        <f aca="false">C25/C26*1000</f>
        <v>93481.9112223454</v>
      </c>
    </row>
    <row r="28" customFormat="false" ht="15.75" hidden="false" customHeight="true" outlineLevel="0" collapsed="false">
      <c r="B28" s="38" t="s">
        <v>141</v>
      </c>
      <c r="C28" s="53" t="n">
        <f aca="false">Assumptions!C42</f>
        <v>285</v>
      </c>
    </row>
    <row r="29" customFormat="false" ht="15.75" hidden="false" customHeight="true" outlineLevel="0" collapsed="false">
      <c r="B29" s="38" t="s">
        <v>142</v>
      </c>
      <c r="C29" s="18" t="n">
        <f aca="false">IFERROR(C27/C28-1,"")</f>
        <v>327.006706043317</v>
      </c>
    </row>
  </sheetData>
  <mergeCells count="3">
    <mergeCell ref="B4:I4"/>
    <mergeCell ref="B12:I12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B2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9" min="3" style="0" width="13"/>
  </cols>
  <sheetData>
    <row r="2" customFormat="false" ht="16.15" hidden="false" customHeight="false" outlineLevel="0" collapsed="false">
      <c r="B2" s="10" t="s">
        <v>143</v>
      </c>
    </row>
    <row r="4" customFormat="false" ht="18" hidden="false" customHeight="true" outlineLevel="0" collapsed="false">
      <c r="B4" s="12" t="s">
        <v>144</v>
      </c>
      <c r="C4" s="12"/>
      <c r="D4" s="12"/>
      <c r="E4" s="12"/>
      <c r="F4" s="12"/>
      <c r="G4" s="12"/>
      <c r="H4" s="12"/>
      <c r="I4" s="12"/>
    </row>
    <row r="5" customFormat="false" ht="18" hidden="false" customHeight="true" outlineLevel="0" collapsed="false">
      <c r="B5" s="54" t="s">
        <v>145</v>
      </c>
      <c r="C5" s="55" t="n">
        <v>0.02</v>
      </c>
      <c r="D5" s="55" t="n">
        <v>0.025</v>
      </c>
      <c r="E5" s="55" t="n">
        <v>0.03</v>
      </c>
      <c r="F5" s="55" t="n">
        <v>0.035</v>
      </c>
      <c r="G5" s="55" t="n">
        <v>0.04</v>
      </c>
    </row>
    <row r="6" customFormat="false" ht="15.75" hidden="false" customHeight="true" outlineLevel="0" collapsed="false">
      <c r="B6" s="56" t="n">
        <v>0.075</v>
      </c>
      <c r="C6" s="57" t="n">
        <f aca="false">IFERROR(('DCF Valuation'!C10*((1+Assumptions!$C$33)^2.5/(1+0.075)^2.5) + 'DCF Valuation'!C13*(1+0.02)/(0.075-0.02)/(1+0.075)^4.5 - Assumptions!$C$41) / Assumptions!$C$40 * 1000, "N/A")</f>
        <v>81812.2987062747</v>
      </c>
      <c r="D6" s="57" t="n">
        <f aca="false">IFERROR(('DCF Valuation'!C10*((1+Assumptions!$C$33)^2.5/(1+0.075)^2.5) + 'DCF Valuation'!C13*(1+0.025)/(0.075-0.025)/(1+0.075)^4.5 - Assumptions!$C$41) / Assumptions!$C$40 * 1000, "N/A")</f>
        <v>89733.7129861238</v>
      </c>
      <c r="E6" s="57" t="n">
        <f aca="false">IFERROR(('DCF Valuation'!C10*((1+Assumptions!$C$33)^2.5/(1+0.075)^2.5) + 'DCF Valuation'!C13*(1+0.03)/(0.075-0.03)/(1+0.075)^4.5 - Assumptions!$C$41) / Assumptions!$C$40 * 1000, "N/A")</f>
        <v>99415.4415503837</v>
      </c>
      <c r="F6" s="57" t="n">
        <f aca="false">IFERROR(('DCF Valuation'!C10*((1+Assumptions!$C$33)^2.5/(1+0.075)^2.5) + 'DCF Valuation'!C13*(1+0.035)/(0.075-0.035)/(1+0.075)^4.5 - Assumptions!$C$41) / Assumptions!$C$40 * 1000, "N/A")</f>
        <v>111517.602255709</v>
      </c>
      <c r="G6" s="57" t="n">
        <f aca="false">IFERROR(('DCF Valuation'!C10*((1+Assumptions!$C$33)^2.5/(1+0.075)^2.5) + 'DCF Valuation'!C13*(1+0.04)/(0.075-0.04)/(1+0.075)^4.5 - Assumptions!$C$41) / Assumptions!$C$40 * 1000, "N/A")</f>
        <v>127077.523162555</v>
      </c>
    </row>
    <row r="7" customFormat="false" ht="15.75" hidden="false" customHeight="true" outlineLevel="0" collapsed="false">
      <c r="B7" s="56" t="n">
        <v>0.08</v>
      </c>
      <c r="C7" s="58" t="n">
        <f aca="false">IFERROR(('DCF Valuation'!C10*((1+Assumptions!$C$33)^2.5/(1+0.08)^2.5) + 'DCF Valuation'!C13*(1+0.02)/(0.08-0.02)/(1+0.08)^4.5 - Assumptions!$C$41) / Assumptions!$C$40 * 1000, "N/A")</f>
        <v>73920.4700910959</v>
      </c>
      <c r="D7" s="58" t="n">
        <f aca="false">IFERROR(('DCF Valuation'!C10*((1+Assumptions!$C$33)^2.5/(1+0.08)^2.5) + 'DCF Valuation'!C13*(1+0.025)/(0.08-0.025)/(1+0.08)^4.5 - Assumptions!$C$41) / Assumptions!$C$40 * 1000, "N/A")</f>
        <v>80415.3026859807</v>
      </c>
      <c r="E7" s="58" t="n">
        <f aca="false">IFERROR(('DCF Valuation'!C10*((1+Assumptions!$C$33)^2.5/(1+0.08)^2.5) + 'DCF Valuation'!C13*(1+0.03)/(0.08-0.03)/(1+0.08)^4.5 - Assumptions!$C$41) / Assumptions!$C$40 * 1000, "N/A")</f>
        <v>88209.1017998425</v>
      </c>
      <c r="F7" s="58" t="n">
        <f aca="false">IFERROR(('DCF Valuation'!C10*((1+Assumptions!$C$33)^2.5/(1+0.08)^2.5) + 'DCF Valuation'!C13*(1+0.035)/(0.08-0.035)/(1+0.08)^4.5 - Assumptions!$C$41) / Assumptions!$C$40 * 1000, "N/A")</f>
        <v>97734.8562723403</v>
      </c>
      <c r="G7" s="58" t="n">
        <f aca="false">IFERROR(('DCF Valuation'!C10*((1+Assumptions!$C$33)^2.5/(1+0.08)^2.5) + 'DCF Valuation'!C13*(1+0.04)/(0.08-0.04)/(1+0.08)^4.5 - Assumptions!$C$41) / Assumptions!$C$40 * 1000, "N/A")</f>
        <v>109642.049362962</v>
      </c>
    </row>
    <row r="8" customFormat="false" ht="15.75" hidden="false" customHeight="true" outlineLevel="0" collapsed="false">
      <c r="B8" s="56" t="n">
        <v>0.085</v>
      </c>
      <c r="C8" s="57" t="n">
        <f aca="false">IFERROR(('DCF Valuation'!C10*((1+Assumptions!$C$33)^2.5/(1+0.085)^2.5) + 'DCF Valuation'!C13*(1+0.02)/(0.085-0.02)/(1+0.085)^4.5 - Assumptions!$C$41) / Assumptions!$C$40 * 1000, "N/A")</f>
        <v>67247.6241705798</v>
      </c>
      <c r="D8" s="57" t="n">
        <f aca="false">IFERROR(('DCF Valuation'!C10*((1+Assumptions!$C$33)^2.5/(1+0.085)^2.5) + 'DCF Valuation'!C13*(1+0.025)/(0.085-0.025)/(1+0.085)^4.5 - Assumptions!$C$41) / Assumptions!$C$40 * 1000, "N/A")</f>
        <v>72655.1220147479</v>
      </c>
      <c r="E8" s="59" t="n">
        <f aca="false">IFERROR(('DCF Valuation'!C10*((1+Assumptions!$C$33)^2.5/(1+0.085)^2.5) + 'DCF Valuation'!C13*(1+0.03)/(0.085-0.03)/(1+0.085)^4.5 - Assumptions!$C$41) / Assumptions!$C$40 * 1000, "N/A")</f>
        <v>79045.8012851284</v>
      </c>
      <c r="F8" s="57" t="n">
        <f aca="false">IFERROR(('DCF Valuation'!C10*((1+Assumptions!$C$33)^2.5/(1+0.085)^2.5) + 'DCF Valuation'!C13*(1+0.035)/(0.085-0.035)/(1+0.085)^4.5 - Assumptions!$C$41) / Assumptions!$C$40 * 1000, "N/A")</f>
        <v>86714.616409585</v>
      </c>
      <c r="G8" s="57" t="n">
        <f aca="false">IFERROR(('DCF Valuation'!C10*((1+Assumptions!$C$33)^2.5/(1+0.085)^2.5) + 'DCF Valuation'!C13*(1+0.04)/(0.085-0.04)/(1+0.085)^4.5 - Assumptions!$C$41) / Assumptions!$C$40 * 1000, "N/A")</f>
        <v>96087.6126728098</v>
      </c>
    </row>
    <row r="9" customFormat="false" ht="15.75" hidden="false" customHeight="true" outlineLevel="0" collapsed="false">
      <c r="B9" s="56" t="n">
        <v>0.09</v>
      </c>
      <c r="C9" s="58" t="n">
        <f aca="false">IFERROR(('DCF Valuation'!C10*((1+Assumptions!$C$33)^2.5/(1+0.09)^2.5) + 'DCF Valuation'!C13*(1+0.02)/(0.09-0.02)/(1+0.09)^4.5 - Assumptions!$C$41) / Assumptions!$C$40 * 1000, "N/A")</f>
        <v>61532.2798768834</v>
      </c>
      <c r="D9" s="58" t="n">
        <f aca="false">IFERROR(('DCF Valuation'!C10*((1+Assumptions!$C$33)^2.5/(1+0.09)^2.5) + 'DCF Valuation'!C13*(1+0.025)/(0.09-0.025)/(1+0.09)^4.5 - Assumptions!$C$41) / Assumptions!$C$40 * 1000, "N/A")</f>
        <v>66093.2886351227</v>
      </c>
      <c r="E9" s="58" t="n">
        <f aca="false">IFERROR(('DCF Valuation'!C10*((1+Assumptions!$C$33)^2.5/(1+0.09)^2.5) + 'DCF Valuation'!C13*(1+0.03)/(0.09-0.03)/(1+0.09)^4.5 - Assumptions!$C$41) / Assumptions!$C$40 * 1000, "N/A")</f>
        <v>71414.4655197352</v>
      </c>
      <c r="F9" s="58" t="n">
        <f aca="false">IFERROR(('DCF Valuation'!C10*((1+Assumptions!$C$33)^2.5/(1+0.09)^2.5) + 'DCF Valuation'!C13*(1+0.035)/(0.09-0.035)/(1+0.09)^4.5 - Assumptions!$C$41) / Assumptions!$C$40 * 1000, "N/A")</f>
        <v>77703.1291106409</v>
      </c>
      <c r="G9" s="58" t="n">
        <f aca="false">IFERROR(('DCF Valuation'!C10*((1+Assumptions!$C$33)^2.5/(1+0.09)^2.5) + 'DCF Valuation'!C13*(1+0.04)/(0.09-0.04)/(1+0.09)^4.5 - Assumptions!$C$41) / Assumptions!$C$40 * 1000, "N/A")</f>
        <v>85249.5254197277</v>
      </c>
    </row>
    <row r="10" customFormat="false" ht="15.75" hidden="false" customHeight="true" outlineLevel="0" collapsed="false">
      <c r="B10" s="56" t="n">
        <v>0.095</v>
      </c>
      <c r="C10" s="57" t="n">
        <f aca="false">IFERROR(('DCF Valuation'!C10*((1+Assumptions!$C$33)^2.5/(1+0.095)^2.5) + 'DCF Valuation'!C13*(1+0.02)/(0.095-0.02)/(1+0.095)^4.5 - Assumptions!$C$41) / Assumptions!$C$40 * 1000, "N/A")</f>
        <v>56582.6968566265</v>
      </c>
      <c r="D10" s="57" t="n">
        <f aca="false">IFERROR(('DCF Valuation'!C10*((1+Assumptions!$C$33)^2.5/(1+0.095)^2.5) + 'DCF Valuation'!C13*(1+0.025)/(0.095-0.025)/(1+0.095)^4.5 - Assumptions!$C$41) / Assumptions!$C$40 * 1000, "N/A")</f>
        <v>60472.7570824857</v>
      </c>
      <c r="E10" s="57" t="n">
        <f aca="false">IFERROR(('DCF Valuation'!C10*((1+Assumptions!$C$33)^2.5/(1+0.095)^2.5) + 'DCF Valuation'!C13*(1+0.03)/(0.095-0.03)/(1+0.095)^4.5 - Assumptions!$C$41) / Assumptions!$C$40 * 1000, "N/A")</f>
        <v>64961.2881123231</v>
      </c>
      <c r="F10" s="57" t="n">
        <f aca="false">IFERROR(('DCF Valuation'!C10*((1+Assumptions!$C$33)^2.5/(1+0.095)^2.5) + 'DCF Valuation'!C13*(1+0.035)/(0.095-0.035)/(1+0.095)^4.5 - Assumptions!$C$41) / Assumptions!$C$40 * 1000, "N/A")</f>
        <v>70197.9076471335</v>
      </c>
      <c r="G10" s="57" t="n">
        <f aca="false">IFERROR(('DCF Valuation'!C10*((1+Assumptions!$C$33)^2.5/(1+0.095)^2.5) + 'DCF Valuation'!C13*(1+0.04)/(0.095-0.04)/(1+0.095)^4.5 - Assumptions!$C$41) / Assumptions!$C$40 * 1000, "N/A")</f>
        <v>76386.6398246368</v>
      </c>
    </row>
    <row r="11" customFormat="false" ht="15.75" hidden="false" customHeight="true" outlineLevel="0" collapsed="false">
      <c r="B11" s="56" t="n">
        <v>0.1</v>
      </c>
      <c r="C11" s="58" t="n">
        <f aca="false">IFERROR(('DCF Valuation'!C10*((1+Assumptions!$C$33)^2.5/(1+0.1)^2.5) + 'DCF Valuation'!C13*(1+0.02)/(0.1-0.02)/(1+0.1)^4.5 - Assumptions!$C$41) / Assumptions!$C$40 * 1000, "N/A")</f>
        <v>52255.0809428297</v>
      </c>
      <c r="D11" s="58" t="n">
        <f aca="false">IFERROR(('DCF Valuation'!C10*((1+Assumptions!$C$33)^2.5/(1+0.1)^2.5) + 'DCF Valuation'!C13*(1+0.025)/(0.1-0.025)/(1+0.1)^4.5 - Assumptions!$C$41) / Assumptions!$C$40 * 1000, "N/A")</f>
        <v>55605.0392134779</v>
      </c>
      <c r="E11" s="58" t="n">
        <f aca="false">IFERROR(('DCF Valuation'!C10*((1+Assumptions!$C$33)^2.5/(1+0.1)^2.5) + 'DCF Valuation'!C13*(1+0.03)/(0.1-0.03)/(1+0.1)^4.5 - Assumptions!$C$41) / Assumptions!$C$40 * 1000, "N/A")</f>
        <v>59433.5629513616</v>
      </c>
      <c r="F11" s="58" t="n">
        <f aca="false">IFERROR(('DCF Valuation'!C10*((1+Assumptions!$C$33)^2.5/(1+0.1)^2.5) + 'DCF Valuation'!C13*(1+0.035)/(0.1-0.035)/(1+0.1)^4.5 - Assumptions!$C$41) / Assumptions!$C$40 * 1000, "N/A")</f>
        <v>63851.0903412274</v>
      </c>
      <c r="G11" s="58" t="n">
        <f aca="false">IFERROR(('DCF Valuation'!C10*((1+Assumptions!$C$33)^2.5/(1+0.1)^2.5) + 'DCF Valuation'!C13*(1+0.04)/(0.1-0.04)/(1+0.1)^4.5 - Assumptions!$C$41) / Assumptions!$C$40 * 1000, "N/A")</f>
        <v>69004.8722960708</v>
      </c>
    </row>
    <row r="13" customFormat="false" ht="15" hidden="false" customHeight="false" outlineLevel="0" collapsed="false">
      <c r="B13" s="60" t="s">
        <v>146</v>
      </c>
    </row>
    <row r="15" customFormat="false" ht="18" hidden="false" customHeight="true" outlineLevel="0" collapsed="false">
      <c r="B15" s="12" t="s">
        <v>147</v>
      </c>
      <c r="C15" s="12"/>
      <c r="D15" s="12"/>
      <c r="E15" s="12"/>
      <c r="F15" s="12"/>
      <c r="G15" s="12"/>
      <c r="H15" s="12"/>
      <c r="I15" s="12"/>
    </row>
    <row r="16" customFormat="false" ht="18" hidden="false" customHeight="true" outlineLevel="0" collapsed="false">
      <c r="B16" s="54" t="s">
        <v>148</v>
      </c>
      <c r="C16" s="55" t="n">
        <v>0.265</v>
      </c>
      <c r="D16" s="55" t="n">
        <v>0.28</v>
      </c>
      <c r="E16" s="55" t="n">
        <v>0.295</v>
      </c>
      <c r="F16" s="55" t="n">
        <v>0.31</v>
      </c>
      <c r="G16" s="55" t="n">
        <v>0.325</v>
      </c>
    </row>
    <row r="17" customFormat="false" ht="15.75" hidden="false" customHeight="true" outlineLevel="0" collapsed="false">
      <c r="B17" s="56" t="n">
        <v>0.075</v>
      </c>
      <c r="C17" s="57" t="n">
        <f aca="false">IFERROR(('DCF Valuation'!C10*0.898305084745763*((1+Assumptions!$C$33)^2.5/(1+0.075)^2.5) + 'DCF Valuation'!C13*0.898305084745763*(1+Assumptions!$C$36)/(0.075-Assumptions!$C$36)/(1+0.075)^4.5 - Assumptions!$C$41) / Assumptions!$C$40 * 1000, "N/A")</f>
        <v>88177.831972557</v>
      </c>
      <c r="D17" s="57" t="n">
        <f aca="false">IFERROR(('DCF Valuation'!C10*0.949152542372882*((1+Assumptions!$C$33)^2.5/(1+0.075)^2.5) + 'DCF Valuation'!C13*0.949152542372882*(1+Assumptions!$C$36)/(0.075-Assumptions!$C$36)/(1+0.075)^4.5 - Assumptions!$C$41) / Assumptions!$C$40 * 1000, "N/A")</f>
        <v>93796.6367614703</v>
      </c>
      <c r="E17" s="57" t="n">
        <f aca="false">IFERROR(('DCF Valuation'!C10*1*((1+Assumptions!$C$33)^2.5/(1+0.075)^2.5) + 'DCF Valuation'!C13*1*(1+Assumptions!$C$36)/(0.075-Assumptions!$C$36)/(1+0.075)^4.5 - Assumptions!$C$41) / Assumptions!$C$40 * 1000, "N/A")</f>
        <v>99415.4415503837</v>
      </c>
      <c r="F17" s="57" t="n">
        <f aca="false">IFERROR(('DCF Valuation'!C10*1.05084745762712*((1+Assumptions!$C$33)^2.5/(1+0.075)^2.5) + 'DCF Valuation'!C13*1.05084745762712*(1+Assumptions!$C$36)/(0.075-Assumptions!$C$36)/(1+0.075)^4.5 - Assumptions!$C$41) / Assumptions!$C$40 * 1000, "N/A")</f>
        <v>105034.246339297</v>
      </c>
      <c r="G17" s="57" t="n">
        <f aca="false">IFERROR(('DCF Valuation'!C10*1.10169491525424*((1+Assumptions!$C$33)^2.5/(1+0.075)^2.5) + 'DCF Valuation'!C13*1.10169491525424*(1+Assumptions!$C$36)/(0.075-Assumptions!$C$36)/(1+0.075)^4.5 - Assumptions!$C$41) / Assumptions!$C$40 * 1000, "N/A")</f>
        <v>110653.05112821</v>
      </c>
    </row>
    <row r="18" customFormat="false" ht="15.75" hidden="false" customHeight="true" outlineLevel="0" collapsed="false">
      <c r="B18" s="56" t="n">
        <v>0.08</v>
      </c>
      <c r="C18" s="58" t="n">
        <f aca="false">IFERROR(('DCF Valuation'!C10*0.898305084745763*((1+Assumptions!$C$33)^2.5/(1+0.08)^2.5) + 'DCF Valuation'!C13*0.898305084745763*(1+Assumptions!$C$36)/(0.08-Assumptions!$C$36)/(1+0.08)^4.5 - Assumptions!$C$41) / Assumptions!$C$40 * 1000, "N/A")</f>
        <v>78111.1199932573</v>
      </c>
      <c r="D18" s="58" t="n">
        <f aca="false">IFERROR(('DCF Valuation'!C10*0.949152542372882*((1+Assumptions!$C$33)^2.5/(1+0.08)^2.5) + 'DCF Valuation'!C13*0.949152542372882*(1+Assumptions!$C$36)/(0.08-Assumptions!$C$36)/(1+0.08)^4.5 - Assumptions!$C$41) / Assumptions!$C$40 * 1000, "N/A")</f>
        <v>83160.1108965499</v>
      </c>
      <c r="E18" s="58" t="n">
        <f aca="false">IFERROR(('DCF Valuation'!C10*1*((1+Assumptions!$C$33)^2.5/(1+0.08)^2.5) + 'DCF Valuation'!C13*1*(1+Assumptions!$C$36)/(0.08-Assumptions!$C$36)/(1+0.08)^4.5 - Assumptions!$C$41) / Assumptions!$C$40 * 1000, "N/A")</f>
        <v>88209.1017998425</v>
      </c>
      <c r="F18" s="58" t="n">
        <f aca="false">IFERROR(('DCF Valuation'!C10*1.05084745762712*((1+Assumptions!$C$33)^2.5/(1+0.08)^2.5) + 'DCF Valuation'!C13*1.05084745762712*(1+Assumptions!$C$36)/(0.08-Assumptions!$C$36)/(1+0.08)^4.5 - Assumptions!$C$41) / Assumptions!$C$40 * 1000, "N/A")</f>
        <v>93258.0927031352</v>
      </c>
      <c r="G18" s="58" t="n">
        <f aca="false">IFERROR(('DCF Valuation'!C10*1.10169491525424*((1+Assumptions!$C$33)^2.5/(1+0.08)^2.5) + 'DCF Valuation'!C13*1.10169491525424*(1+Assumptions!$C$36)/(0.08-Assumptions!$C$36)/(1+0.08)^4.5 - Assumptions!$C$41) / Assumptions!$C$40 * 1000, "N/A")</f>
        <v>98307.0836064278</v>
      </c>
    </row>
    <row r="19" customFormat="false" ht="15.75" hidden="false" customHeight="true" outlineLevel="0" collapsed="false">
      <c r="B19" s="56" t="n">
        <v>0.085</v>
      </c>
      <c r="C19" s="57" t="n">
        <f aca="false">IFERROR(('DCF Valuation'!C10*0.898305084745763*((1+Assumptions!$C$33)^2.5/(1+0.085)^2.5) + 'DCF Valuation'!C13*0.898305084745763*(1+Assumptions!$C$36)/(0.085-Assumptions!$C$36)/(1+0.085)^4.5 - Assumptions!$C$41) / Assumptions!$C$40 * 1000, "N/A")</f>
        <v>69879.6805478361</v>
      </c>
      <c r="D19" s="57" t="n">
        <f aca="false">IFERROR(('DCF Valuation'!C10*0.949152542372882*((1+Assumptions!$C$33)^2.5/(1+0.085)^2.5) + 'DCF Valuation'!C13*0.949152542372882*(1+Assumptions!$C$36)/(0.085-Assumptions!$C$36)/(1+0.085)^4.5 - Assumptions!$C$41) / Assumptions!$C$40 * 1000, "N/A")</f>
        <v>74462.7409164823</v>
      </c>
      <c r="E19" s="59" t="n">
        <f aca="false">IFERROR(('DCF Valuation'!C10*1*((1+Assumptions!$C$33)^2.5/(1+0.085)^2.5) + 'DCF Valuation'!C13*1*(1+Assumptions!$C$36)/(0.085-Assumptions!$C$36)/(1+0.085)^4.5 - Assumptions!$C$41) / Assumptions!$C$40 * 1000, "N/A")</f>
        <v>79045.8012851284</v>
      </c>
      <c r="F19" s="57" t="n">
        <f aca="false">IFERROR(('DCF Valuation'!C10*1.05084745762712*((1+Assumptions!$C$33)^2.5/(1+0.085)^2.5) + 'DCF Valuation'!C13*1.05084745762712*(1+Assumptions!$C$36)/(0.085-Assumptions!$C$36)/(1+0.085)^4.5 - Assumptions!$C$41) / Assumptions!$C$40 * 1000, "N/A")</f>
        <v>83628.8616537746</v>
      </c>
      <c r="G19" s="57" t="n">
        <f aca="false">IFERROR(('DCF Valuation'!C10*1.10169491525424*((1+Assumptions!$C$33)^2.5/(1+0.085)^2.5) + 'DCF Valuation'!C13*1.10169491525424*(1+Assumptions!$C$36)/(0.085-Assumptions!$C$36)/(1+0.085)^4.5 - Assumptions!$C$41) / Assumptions!$C$40 * 1000, "N/A")</f>
        <v>88211.9220224207</v>
      </c>
    </row>
    <row r="20" customFormat="false" ht="15.75" hidden="false" customHeight="true" outlineLevel="0" collapsed="false">
      <c r="B20" s="56" t="n">
        <v>0.09</v>
      </c>
      <c r="C20" s="58" t="n">
        <f aca="false">IFERROR(('DCF Valuation'!C10*0.898305084745763*((1+Assumptions!$C$33)^2.5/(1+0.09)^2.5) + 'DCF Valuation'!C13*0.898305084745763*(1+Assumptions!$C$36)/(0.09-Assumptions!$C$36)/(1+0.09)^4.5 - Assumptions!$C$41) / Assumptions!$C$40 * 1000, "N/A")</f>
        <v>63024.4128263812</v>
      </c>
      <c r="D20" s="58" t="n">
        <f aca="false">IFERROR(('DCF Valuation'!C10*0.949152542372882*((1+Assumptions!$C$33)^2.5/(1+0.09)^2.5) + 'DCF Valuation'!C13*0.949152542372882*(1+Assumptions!$C$36)/(0.09-Assumptions!$C$36)/(1+0.09)^4.5 - Assumptions!$C$41) / Assumptions!$C$40 * 1000, "N/A")</f>
        <v>67219.4391730582</v>
      </c>
      <c r="E20" s="58" t="n">
        <f aca="false">IFERROR(('DCF Valuation'!C10*1*((1+Assumptions!$C$33)^2.5/(1+0.09)^2.5) + 'DCF Valuation'!C13*1*(1+Assumptions!$C$36)/(0.09-Assumptions!$C$36)/(1+0.09)^4.5 - Assumptions!$C$41) / Assumptions!$C$40 * 1000, "N/A")</f>
        <v>71414.4655197352</v>
      </c>
      <c r="F20" s="58" t="n">
        <f aca="false">IFERROR(('DCF Valuation'!C10*1.05084745762712*((1+Assumptions!$C$33)^2.5/(1+0.09)^2.5) + 'DCF Valuation'!C13*1.05084745762712*(1+Assumptions!$C$36)/(0.09-Assumptions!$C$36)/(1+0.09)^4.5 - Assumptions!$C$41) / Assumptions!$C$40 * 1000, "N/A")</f>
        <v>75609.4918664122</v>
      </c>
      <c r="G20" s="58" t="n">
        <f aca="false">IFERROR(('DCF Valuation'!C10*1.10169491525424*((1+Assumptions!$C$33)^2.5/(1+0.09)^2.5) + 'DCF Valuation'!C13*1.10169491525424*(1+Assumptions!$C$36)/(0.09-Assumptions!$C$36)/(1+0.09)^4.5 - Assumptions!$C$41) / Assumptions!$C$40 * 1000, "N/A")</f>
        <v>79804.5182130892</v>
      </c>
    </row>
    <row r="21" customFormat="false" ht="15.75" hidden="false" customHeight="true" outlineLevel="0" collapsed="false">
      <c r="B21" s="56" t="n">
        <v>0.095</v>
      </c>
      <c r="C21" s="57" t="n">
        <f aca="false">IFERROR(('DCF Valuation'!C10*0.898305084745763*((1+Assumptions!$C$33)^2.5/(1+0.095)^2.5) + 'DCF Valuation'!C13*0.898305084745763*(1+Assumptions!$C$36)/(0.095-Assumptions!$C$36)/(1+0.095)^4.5 - Assumptions!$C$41) / Assumptions!$C$40 * 1000, "N/A")</f>
        <v>57227.4907485365</v>
      </c>
      <c r="D21" s="57" t="n">
        <f aca="false">IFERROR(('DCF Valuation'!C10*0.949152542372882*((1+Assumptions!$C$33)^2.5/(1+0.095)^2.5) + 'DCF Valuation'!C13*0.949152542372882*(1+Assumptions!$C$36)/(0.095-Assumptions!$C$36)/(1+0.095)^4.5 - Assumptions!$C$41) / Assumptions!$C$40 * 1000, "N/A")</f>
        <v>61094.3894304298</v>
      </c>
      <c r="E21" s="57" t="n">
        <f aca="false">IFERROR(('DCF Valuation'!C10*1*((1+Assumptions!$C$33)^2.5/(1+0.095)^2.5) + 'DCF Valuation'!C13*1*(1+Assumptions!$C$36)/(0.095-Assumptions!$C$36)/(1+0.095)^4.5 - Assumptions!$C$41) / Assumptions!$C$40 * 1000, "N/A")</f>
        <v>64961.2881123231</v>
      </c>
      <c r="F21" s="57" t="n">
        <f aca="false">IFERROR(('DCF Valuation'!C10*1.05084745762712*((1+Assumptions!$C$33)^2.5/(1+0.095)^2.5) + 'DCF Valuation'!C13*1.05084745762712*(1+Assumptions!$C$36)/(0.095-Assumptions!$C$36)/(1+0.095)^4.5 - Assumptions!$C$41) / Assumptions!$C$40 * 1000, "N/A")</f>
        <v>68828.1867942165</v>
      </c>
      <c r="G21" s="57" t="n">
        <f aca="false">IFERROR(('DCF Valuation'!C10*1.10169491525424*((1+Assumptions!$C$33)^2.5/(1+0.095)^2.5) + 'DCF Valuation'!C13*1.10169491525424*(1+Assumptions!$C$36)/(0.095-Assumptions!$C$36)/(1+0.095)^4.5 - Assumptions!$C$41) / Assumptions!$C$40 * 1000, "N/A")</f>
        <v>72695.0854761098</v>
      </c>
    </row>
    <row r="22" customFormat="false" ht="15.75" hidden="false" customHeight="true" outlineLevel="0" collapsed="false">
      <c r="B22" s="56" t="n">
        <v>0.1</v>
      </c>
      <c r="C22" s="58" t="n">
        <f aca="false">IFERROR(('DCF Valuation'!C10*0.898305084745763*((1+Assumptions!$C$33)^2.5/(1+0.1)^2.5) + 'DCF Valuation'!C13*0.898305084745763*(1+Assumptions!$C$36)/(0.1-Assumptions!$C$36)/(1+0.1)^4.5 - Assumptions!$C$41) / Assumptions!$C$40 * 1000, "N/A")</f>
        <v>52261.9071293676</v>
      </c>
      <c r="D22" s="58" t="n">
        <f aca="false">IFERROR(('DCF Valuation'!C10*0.949152542372882*((1+Assumptions!$C$33)^2.5/(1+0.1)^2.5) + 'DCF Valuation'!C13*0.949152542372882*(1+Assumptions!$C$36)/(0.1-Assumptions!$C$36)/(1+0.1)^4.5 - Assumptions!$C$41) / Assumptions!$C$40 * 1000, "N/A")</f>
        <v>55847.7350403646</v>
      </c>
      <c r="E22" s="58" t="n">
        <f aca="false">IFERROR(('DCF Valuation'!C10*1*((1+Assumptions!$C$33)^2.5/(1+0.1)^2.5) + 'DCF Valuation'!C13*1*(1+Assumptions!$C$36)/(0.1-Assumptions!$C$36)/(1+0.1)^4.5 - Assumptions!$C$41) / Assumptions!$C$40 * 1000, "N/A")</f>
        <v>59433.5629513616</v>
      </c>
      <c r="F22" s="58" t="n">
        <f aca="false">IFERROR(('DCF Valuation'!C10*1.05084745762712*((1+Assumptions!$C$33)^2.5/(1+0.1)^2.5) + 'DCF Valuation'!C13*1.05084745762712*(1+Assumptions!$C$36)/(0.1-Assumptions!$C$36)/(1+0.1)^4.5 - Assumptions!$C$41) / Assumptions!$C$40 * 1000, "N/A")</f>
        <v>63019.3908623586</v>
      </c>
      <c r="G22" s="58" t="n">
        <f aca="false">IFERROR(('DCF Valuation'!C10*1.10169491525424*((1+Assumptions!$C$33)^2.5/(1+0.1)^2.5) + 'DCF Valuation'!C13*1.10169491525424*(1+Assumptions!$C$36)/(0.1-Assumptions!$C$36)/(1+0.1)^4.5 - Assumptions!$C$41) / Assumptions!$C$40 * 1000, "N/A")</f>
        <v>66605.2187733556</v>
      </c>
    </row>
  </sheetData>
  <mergeCells count="2">
    <mergeCell ref="B4:I4"/>
    <mergeCell ref="B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2026-05-25T13:19:58Z</dcterms:created>
  <dc:creator>openpyxl</dc:creator>
  <dc:description/>
  <dc:language>en-US</dc:language>
  <cp:lastModifiedBy/>
  <dcterms:modified xsi:type="dcterms:W3CDTF">2026-05-25T13:19:58Z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